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GraceTee/Downloads/"/>
    </mc:Choice>
  </mc:AlternateContent>
  <xr:revisionPtr revIDLastSave="0" documentId="8_{B4FA89C5-6EDC-8B45-8B85-D1BD9B5F0C48}" xr6:coauthVersionLast="47" xr6:coauthVersionMax="47" xr10:uidLastSave="{00000000-0000-0000-0000-000000000000}"/>
  <bookViews>
    <workbookView showHorizontalScroll="0" showVerticalScroll="0" xWindow="0" yWindow="500" windowWidth="28800" windowHeight="16360" activeTab="2" xr2:uid="{11632DFA-D098-8B4C-BB9D-D659C9AEACBB}"/>
  </bookViews>
  <sheets>
    <sheet name="Datatable" sheetId="1" r:id="rId1"/>
    <sheet name="Pivottable" sheetId="4" r:id="rId2"/>
    <sheet name="Dashboard" sheetId="5" r:id="rId3"/>
  </sheets>
  <definedNames>
    <definedName name="_xlchart.v5.0" hidden="1">Pivottable!$BA$10</definedName>
    <definedName name="_xlchart.v5.1" hidden="1">Pivottable!$BA$11:$BA$17</definedName>
    <definedName name="_xlchart.v5.2" hidden="1">Pivottable!$BB$11:$BB$17</definedName>
    <definedName name="Slicer_Driver_Name">#N/A</definedName>
    <definedName name="Slicer_Month">#N/A</definedName>
  </definedNames>
  <calcPr calcId="181029"/>
  <pivotCaches>
    <pivotCache cacheId="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5" i="4" l="1"/>
  <c r="BB17" i="4"/>
  <c r="BB11" i="4"/>
  <c r="AX6" i="4"/>
  <c r="BB12" i="4"/>
  <c r="BB13" i="4"/>
  <c r="BB14" i="4"/>
  <c r="BB15" i="4"/>
  <c r="BB16" i="4"/>
  <c r="AF12" i="4"/>
  <c r="AF13" i="4"/>
  <c r="AF14" i="4"/>
  <c r="AF15" i="4"/>
  <c r="AF16" i="4"/>
  <c r="AF17" i="4"/>
  <c r="AF18" i="4"/>
  <c r="AF19" i="4"/>
  <c r="AF20" i="4"/>
  <c r="AF21" i="4"/>
  <c r="AF22" i="4"/>
  <c r="AF11" i="4"/>
  <c r="G6" i="4"/>
  <c r="BH6" i="4"/>
  <c r="Q6" i="4"/>
  <c r="T6" i="4"/>
  <c r="X6" i="4"/>
  <c r="BE6" i="4"/>
  <c r="Z6" i="4"/>
  <c r="BI6" i="4"/>
  <c r="BG6" i="4"/>
  <c r="S6" i="4"/>
  <c r="BF6" i="4"/>
  <c r="R6" i="4"/>
  <c r="M6" i="4"/>
  <c r="D6" i="4"/>
  <c r="L6" i="4"/>
  <c r="Y6" i="4"/>
  <c r="C6" i="4"/>
  <c r="B6" i="4"/>
  <c r="W6" i="4"/>
  <c r="BQ6" i="4"/>
  <c r="BP6" i="4"/>
  <c r="BN7" i="4"/>
  <c r="BM7" i="4"/>
  <c r="BL7" i="4"/>
  <c r="BN6" i="4"/>
  <c r="BM6" i="4"/>
  <c r="BL6" i="4"/>
  <c r="AS6" i="4"/>
  <c r="AV6" i="4"/>
  <c r="AO6" i="4"/>
  <c r="AN6" i="4"/>
  <c r="AP6" i="4"/>
  <c r="AQ6" i="4"/>
  <c r="AR6" i="4"/>
  <c r="AY6" i="4" l="1"/>
  <c r="B7" i="4"/>
  <c r="C7" i="4"/>
</calcChain>
</file>

<file path=xl/sharedStrings.xml><?xml version="1.0" encoding="utf-8"?>
<sst xmlns="http://schemas.openxmlformats.org/spreadsheetml/2006/main" count="547" uniqueCount="112">
  <si>
    <t>Month</t>
  </si>
  <si>
    <t>Day</t>
  </si>
  <si>
    <t>Load</t>
  </si>
  <si>
    <t>Rate</t>
  </si>
  <si>
    <t>Truck</t>
  </si>
  <si>
    <t>Insurance</t>
  </si>
  <si>
    <t>Fuel</t>
  </si>
  <si>
    <t>Diesel Exhaust Fluid</t>
  </si>
  <si>
    <t>Advance</t>
  </si>
  <si>
    <t>Warehouse</t>
  </si>
  <si>
    <t>Repairs</t>
  </si>
  <si>
    <t>Tolls</t>
  </si>
  <si>
    <t>Fundings</t>
  </si>
  <si>
    <t>Driver Name</t>
  </si>
  <si>
    <t>Odometer</t>
  </si>
  <si>
    <t>Miles</t>
  </si>
  <si>
    <t>Rate Per Miles</t>
  </si>
  <si>
    <t>Extra Stops</t>
  </si>
  <si>
    <t>Extra Pay</t>
  </si>
  <si>
    <t>Costs Driver Paid</t>
  </si>
  <si>
    <t>Total Expenses</t>
  </si>
  <si>
    <t>Jan</t>
  </si>
  <si>
    <t>Wood</t>
  </si>
  <si>
    <t>Feb</t>
  </si>
  <si>
    <t>Sand</t>
  </si>
  <si>
    <t>Mar</t>
  </si>
  <si>
    <t>Iron</t>
  </si>
  <si>
    <t>Freightliner Sprinter</t>
  </si>
  <si>
    <t>Apr</t>
  </si>
  <si>
    <t>Chevrolet Express</t>
  </si>
  <si>
    <t>May</t>
  </si>
  <si>
    <t>Jun</t>
  </si>
  <si>
    <t>RAM ProMaster</t>
  </si>
  <si>
    <t>Jul</t>
  </si>
  <si>
    <t>Nissan NV2500</t>
  </si>
  <si>
    <t>Aug</t>
  </si>
  <si>
    <t>Sep</t>
  </si>
  <si>
    <t>Oct</t>
  </si>
  <si>
    <t>Nov</t>
  </si>
  <si>
    <t>Dec</t>
  </si>
  <si>
    <t>Alessandro Smith</t>
  </si>
  <si>
    <t>Beauregard Mike</t>
  </si>
  <si>
    <t>Jean Bartholomew</t>
  </si>
  <si>
    <t>Jaison Augustine</t>
  </si>
  <si>
    <t>Tonnage</t>
  </si>
  <si>
    <t>Customer Type</t>
  </si>
  <si>
    <t>Retaining Customer</t>
  </si>
  <si>
    <t>New Customer</t>
  </si>
  <si>
    <t>Destination</t>
  </si>
  <si>
    <t>Alberta</t>
  </si>
  <si>
    <t>British Columbia</t>
  </si>
  <si>
    <t>Manitoba</t>
  </si>
  <si>
    <t>New Brunswick</t>
  </si>
  <si>
    <t>Nova Scotia</t>
  </si>
  <si>
    <t>Nunavut</t>
  </si>
  <si>
    <t>Yukon</t>
  </si>
  <si>
    <t>First condition type</t>
  </si>
  <si>
    <t>Shipment cost sub-items</t>
  </si>
  <si>
    <t>Basic freight</t>
  </si>
  <si>
    <t>Final Amount</t>
  </si>
  <si>
    <t>ERE Stage</t>
  </si>
  <si>
    <t>Sum of Rate</t>
  </si>
  <si>
    <t>Sum of Total Expenses</t>
  </si>
  <si>
    <t>Sum of Balance</t>
  </si>
  <si>
    <t xml:space="preserve">Rate </t>
  </si>
  <si>
    <t>Expenses</t>
  </si>
  <si>
    <t>Balance</t>
  </si>
  <si>
    <t>Monthly Rate</t>
  </si>
  <si>
    <t>Row Labels</t>
  </si>
  <si>
    <t>Grand Total</t>
  </si>
  <si>
    <t>Monthly Balance</t>
  </si>
  <si>
    <t xml:space="preserve">Year to Date - Total Balance </t>
  </si>
  <si>
    <t>Count of Customer Type</t>
  </si>
  <si>
    <t>Truck Expenses</t>
  </si>
  <si>
    <t>Sum of Insurance</t>
  </si>
  <si>
    <t>Sum of Fuel</t>
  </si>
  <si>
    <t>Sum of Diesel Exhaust Fluid</t>
  </si>
  <si>
    <t>Sum of Advance</t>
  </si>
  <si>
    <t>Freight Expenses</t>
  </si>
  <si>
    <t>Sum of Warehouse</t>
  </si>
  <si>
    <t>Sum of Repairs</t>
  </si>
  <si>
    <t>Sum of Tolls</t>
  </si>
  <si>
    <t>Sum of Fundings</t>
  </si>
  <si>
    <t>Repairs &amp; Cost</t>
  </si>
  <si>
    <t>Red Dot</t>
  </si>
  <si>
    <t>●</t>
  </si>
  <si>
    <t>Monthly Expenses</t>
  </si>
  <si>
    <t>Driver Payroll</t>
  </si>
  <si>
    <t>Sum of Odometer</t>
  </si>
  <si>
    <t>Sum of Miles</t>
  </si>
  <si>
    <t>Sum of Rate Per Miles</t>
  </si>
  <si>
    <t>Sum of Extra Stops</t>
  </si>
  <si>
    <t>Sum of Extra Pay</t>
  </si>
  <si>
    <t>Sum of Costs Driver Paid</t>
  </si>
  <si>
    <t xml:space="preserve"> Odometer</t>
  </si>
  <si>
    <t>Total Payroll</t>
  </si>
  <si>
    <t>Destinations</t>
  </si>
  <si>
    <t>Count of Destination</t>
  </si>
  <si>
    <t>Freight</t>
  </si>
  <si>
    <t>Sum of First condition type</t>
  </si>
  <si>
    <t>Sum of Shipment cost sub-items</t>
  </si>
  <si>
    <t>Sum of ERE Stage</t>
  </si>
  <si>
    <t>Sum of Basic freight</t>
  </si>
  <si>
    <t>Sum of Final Amount</t>
  </si>
  <si>
    <t>First Condition Type</t>
  </si>
  <si>
    <t>Shipment Cost Sub-Items</t>
  </si>
  <si>
    <t>Basic Freight</t>
  </si>
  <si>
    <t>Count of Load</t>
  </si>
  <si>
    <t>Sum of Tonnage</t>
  </si>
  <si>
    <t>Freights</t>
  </si>
  <si>
    <t>Total Tonnage</t>
  </si>
  <si>
    <t>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</si>
</sst>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409]mmmm\ d\,\ yyyy;@"/>
    <numFmt numFmtId="165" formatCode="&quot;$&quot;#,##0"/>
    <numFmt numFmtId="166" formatCode="[$-409]d\-mmm\-yy;@"/>
    <numFmt numFmtId="167" formatCode="0.0"/>
    <numFmt numFmtId="168" formatCode="&quot;$&quot;#,##0.00"/>
  </numFmts>
  <fonts count="2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0"/>
      <name val="Arial"/>
      <family val="2"/>
    </font>
    <font>
      <sz val="11"/>
      <color theme="0"/>
      <name val="Arial"/>
      <family val="2"/>
    </font>
    <font>
      <sz val="12"/>
      <color theme="1"/>
      <name val="Arial"/>
      <family val="2"/>
    </font>
    <font>
      <sz val="12"/>
      <color theme="1" tint="4.9989318521683403E-2"/>
      <name val="Arial"/>
      <family val="2"/>
    </font>
    <font>
      <b/>
      <sz val="12"/>
      <color theme="1" tint="4.9989318521683403E-2"/>
      <name val="Arial"/>
      <family val="2"/>
    </font>
    <font>
      <sz val="11"/>
      <color theme="1"/>
      <name val="Arial"/>
      <family val="2"/>
    </font>
    <font>
      <b/>
      <sz val="11"/>
      <color theme="1"/>
      <name val="Arial"/>
      <family val="2"/>
    </font>
    <font>
      <sz val="12"/>
      <color theme="1" tint="0.499984740745262"/>
      <name val="Calibri"/>
      <family val="2"/>
      <scheme val="minor"/>
    </font>
    <font>
      <sz val="11"/>
      <color theme="1" tint="0.499984740745262"/>
      <name val="Arial"/>
      <family val="2"/>
    </font>
    <font>
      <sz val="12"/>
      <color theme="1" tint="0.499984740745262"/>
      <name val="Arial"/>
      <family val="2"/>
    </font>
    <font>
      <b/>
      <sz val="12"/>
      <color rgb="FFC00000"/>
      <name val="Arial"/>
      <family val="2"/>
    </font>
    <font>
      <sz val="12"/>
      <color rgb="FFC00000"/>
      <name val="Arial"/>
      <family val="2"/>
    </font>
    <font>
      <b/>
      <sz val="12"/>
      <color theme="1"/>
      <name val="Arial"/>
      <family val="2"/>
    </font>
    <font>
      <b/>
      <sz val="12"/>
      <color rgb="FFC00000"/>
      <name val="Calibri"/>
      <family val="2"/>
      <scheme val="minor"/>
    </font>
    <font>
      <b/>
      <sz val="11"/>
      <color theme="1"/>
      <name val="Baskerville"/>
      <family val="1"/>
    </font>
    <font>
      <b/>
      <sz val="12"/>
      <color theme="1"/>
      <name val="Baskerville"/>
      <family val="1"/>
    </font>
    <font>
      <sz val="12"/>
      <color rgb="FFFF0000"/>
      <name val="Calibri"/>
      <family val="2"/>
      <scheme val="minor"/>
    </font>
    <font>
      <b/>
      <sz val="12"/>
      <color theme="1" tint="0.34998626667073579"/>
      <name val="Baskerville"/>
      <family val="1"/>
    </font>
    <font>
      <sz val="12"/>
      <color rgb="FF000000"/>
      <name val="Baskerville"/>
      <family val="1"/>
    </font>
    <font>
      <sz val="12"/>
      <color theme="1" tint="0.14999847407452621"/>
      <name val="Times New Roman"/>
      <family val="1"/>
    </font>
    <font>
      <sz val="12"/>
      <color theme="1"/>
      <name val="Times New Roman"/>
      <family val="1"/>
    </font>
  </fonts>
  <fills count="3">
    <fill>
      <patternFill patternType="none"/>
    </fill>
    <fill>
      <patternFill patternType="gray125"/>
    </fill>
    <fill>
      <patternFill patternType="solid">
        <fgColor theme="1" tint="0.34998626667073579"/>
        <bgColor indexed="64"/>
      </patternFill>
    </fill>
  </fills>
  <borders count="10">
    <border>
      <left/>
      <right/>
      <top/>
      <bottom/>
      <diagonal/>
    </border>
    <border>
      <left style="dashed">
        <color theme="0" tint="-0.249977111117893"/>
      </left>
      <right/>
      <top/>
      <bottom/>
      <diagonal/>
    </border>
    <border>
      <left style="dashed">
        <color theme="0" tint="-0.249977111117893"/>
      </left>
      <right style="dashed">
        <color theme="0" tint="-0.249977111117893"/>
      </right>
      <top/>
      <bottom/>
      <diagonal/>
    </border>
    <border>
      <left/>
      <right style="thin">
        <color theme="0" tint="-0.249977111117893"/>
      </right>
      <top/>
      <bottom/>
      <diagonal/>
    </border>
    <border>
      <left/>
      <right style="thin">
        <color theme="0" tint="-0.499984740745262"/>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s>
  <cellStyleXfs count="4">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cellStyleXfs>
  <cellXfs count="71">
    <xf numFmtId="0" fontId="0" fillId="0" borderId="0" xfId="0"/>
    <xf numFmtId="0" fontId="6" fillId="2" borderId="0" xfId="0" applyFont="1" applyFill="1" applyAlignment="1">
      <alignment horizontal="center" vertical="center" wrapText="1"/>
    </xf>
    <xf numFmtId="0" fontId="7" fillId="0" borderId="0" xfId="0" applyFont="1" applyAlignment="1">
      <alignment horizontal="center" wrapText="1"/>
    </xf>
    <xf numFmtId="0" fontId="8" fillId="0" borderId="0" xfId="0" applyFont="1"/>
    <xf numFmtId="0" fontId="8" fillId="0" borderId="0" xfId="0" applyFont="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0" fontId="9" fillId="0" borderId="0" xfId="0" applyFont="1" applyAlignment="1">
      <alignment horizontal="center" vertical="center"/>
    </xf>
    <xf numFmtId="167" fontId="9" fillId="0" borderId="0" xfId="0" applyNumberFormat="1" applyFont="1" applyAlignment="1">
      <alignment horizontal="center" vertical="center"/>
    </xf>
    <xf numFmtId="165" fontId="10" fillId="0" borderId="0" xfId="1" applyNumberFormat="1" applyFont="1" applyBorder="1" applyAlignment="1">
      <alignment horizontal="center" vertical="center"/>
    </xf>
    <xf numFmtId="0" fontId="9" fillId="0" borderId="1" xfId="0" applyFont="1" applyBorder="1" applyAlignment="1">
      <alignment horizontal="left" vertical="center"/>
    </xf>
    <xf numFmtId="165" fontId="9" fillId="0" borderId="0" xfId="0" applyNumberFormat="1" applyFont="1" applyAlignment="1">
      <alignment horizontal="center" vertical="center"/>
    </xf>
    <xf numFmtId="165" fontId="9" fillId="0" borderId="1" xfId="0" applyNumberFormat="1" applyFont="1" applyBorder="1" applyAlignment="1">
      <alignment horizontal="center" vertical="center"/>
    </xf>
    <xf numFmtId="166" fontId="9" fillId="0" borderId="1" xfId="0" applyNumberFormat="1" applyFont="1" applyBorder="1" applyAlignment="1">
      <alignment horizontal="left" vertical="center"/>
    </xf>
    <xf numFmtId="165" fontId="10" fillId="0" borderId="2" xfId="0" applyNumberFormat="1" applyFont="1" applyBorder="1" applyAlignment="1">
      <alignment horizontal="center" vertical="center"/>
    </xf>
    <xf numFmtId="166" fontId="9" fillId="0" borderId="0" xfId="0" applyNumberFormat="1" applyFont="1" applyAlignment="1">
      <alignment horizontal="center" vertical="center"/>
    </xf>
    <xf numFmtId="0" fontId="13" fillId="0" borderId="0" xfId="0" applyFont="1" applyAlignment="1">
      <alignment horizontal="center" vertical="center"/>
    </xf>
    <xf numFmtId="165" fontId="12" fillId="0" borderId="0" xfId="0" applyNumberFormat="1" applyFont="1" applyAlignment="1">
      <alignment horizontal="center" vertical="center"/>
    </xf>
    <xf numFmtId="9" fontId="14" fillId="0" borderId="0" xfId="2" applyFont="1" applyAlignment="1">
      <alignment horizontal="center"/>
    </xf>
    <xf numFmtId="0" fontId="15" fillId="0" borderId="0" xfId="0" applyFont="1" applyAlignment="1">
      <alignment horizontal="center" vertical="center"/>
    </xf>
    <xf numFmtId="0" fontId="0" fillId="0" borderId="3" xfId="0" applyBorder="1"/>
    <xf numFmtId="0" fontId="11" fillId="0" borderId="0" xfId="0" applyFont="1"/>
    <xf numFmtId="0" fontId="15" fillId="0" borderId="3" xfId="0" applyFont="1" applyBorder="1" applyAlignment="1">
      <alignment horizontal="center" vertical="center"/>
    </xf>
    <xf numFmtId="165" fontId="18" fillId="0" borderId="0" xfId="0" applyNumberFormat="1" applyFont="1" applyAlignment="1">
      <alignment horizontal="center" vertical="center"/>
    </xf>
    <xf numFmtId="3" fontId="18" fillId="0" borderId="0" xfId="0" applyNumberFormat="1" applyFont="1" applyAlignment="1">
      <alignment horizontal="center" vertical="center"/>
    </xf>
    <xf numFmtId="0" fontId="11" fillId="0" borderId="3" xfId="0" applyFont="1" applyBorder="1"/>
    <xf numFmtId="0" fontId="19" fillId="0" borderId="0" xfId="0" applyFont="1"/>
    <xf numFmtId="0" fontId="16" fillId="0" borderId="0" xfId="0" applyFont="1"/>
    <xf numFmtId="0" fontId="13" fillId="0" borderId="0" xfId="0" applyFont="1" applyAlignment="1">
      <alignment horizontal="center" vertical="center" wrapText="1"/>
    </xf>
    <xf numFmtId="165" fontId="20" fillId="0" borderId="0" xfId="0" applyNumberFormat="1" applyFont="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0" fontId="18" fillId="0" borderId="0" xfId="0" applyFont="1" applyAlignment="1">
      <alignment horizontal="center" vertical="center"/>
    </xf>
    <xf numFmtId="0" fontId="4" fillId="0" borderId="0" xfId="0" applyFont="1" applyAlignment="1">
      <alignment horizontal="center" vertical="center" wrapText="1"/>
    </xf>
    <xf numFmtId="0" fontId="8" fillId="0" borderId="0" xfId="0" applyFont="1" applyAlignment="1">
      <alignment horizontal="center" vertical="center" wrapText="1"/>
    </xf>
    <xf numFmtId="0" fontId="4" fillId="0" borderId="3" xfId="0" applyFont="1" applyBorder="1" applyAlignment="1">
      <alignment horizontal="center" vertical="center" wrapText="1"/>
    </xf>
    <xf numFmtId="0" fontId="15" fillId="0" borderId="0" xfId="0" applyFont="1" applyAlignment="1">
      <alignment horizontal="center" vertical="center" wrapText="1"/>
    </xf>
    <xf numFmtId="165" fontId="21" fillId="0" borderId="0" xfId="3" applyNumberFormat="1" applyFont="1" applyAlignment="1">
      <alignment horizontal="center" vertical="center"/>
    </xf>
    <xf numFmtId="0" fontId="22" fillId="0" borderId="6" xfId="0" applyFont="1" applyBorder="1"/>
    <xf numFmtId="0" fontId="22" fillId="0" borderId="4" xfId="0" applyFont="1" applyBorder="1"/>
    <xf numFmtId="0" fontId="22" fillId="0" borderId="9" xfId="0" applyFont="1" applyBorder="1"/>
    <xf numFmtId="0" fontId="3" fillId="0" borderId="0" xfId="0" applyFont="1"/>
    <xf numFmtId="0" fontId="8" fillId="0" borderId="5" xfId="0" applyFont="1" applyBorder="1" applyAlignment="1">
      <alignment horizontal="left"/>
    </xf>
    <xf numFmtId="0" fontId="8" fillId="0" borderId="7" xfId="0" applyFont="1" applyBorder="1" applyAlignment="1">
      <alignment horizontal="left"/>
    </xf>
    <xf numFmtId="0" fontId="8" fillId="0" borderId="8" xfId="0" applyFont="1" applyBorder="1" applyAlignment="1">
      <alignment horizontal="left"/>
    </xf>
    <xf numFmtId="168" fontId="21" fillId="0" borderId="0" xfId="3" applyNumberFormat="1" applyFont="1" applyAlignment="1">
      <alignment horizontal="center" vertical="center"/>
    </xf>
    <xf numFmtId="0" fontId="0" fillId="0" borderId="0" xfId="0" applyAlignment="1">
      <alignment horizontal="left" vertical="center"/>
    </xf>
    <xf numFmtId="0" fontId="0" fillId="0" borderId="0" xfId="0" applyAlignment="1">
      <alignment horizontal="center"/>
    </xf>
    <xf numFmtId="0" fontId="23" fillId="0" borderId="0" xfId="3" applyNumberFormat="1" applyFont="1" applyAlignment="1">
      <alignment horizontal="center" vertical="center"/>
    </xf>
    <xf numFmtId="0" fontId="0" fillId="0" borderId="0" xfId="0" pivotButton="1"/>
    <xf numFmtId="0" fontId="0" fillId="0" borderId="0" xfId="0" applyAlignment="1">
      <alignment horizontal="left"/>
    </xf>
    <xf numFmtId="0" fontId="2" fillId="0" borderId="0" xfId="0" applyFont="1" applyAlignment="1">
      <alignment horizontal="center" vertical="center" wrapText="1"/>
    </xf>
    <xf numFmtId="0" fontId="2" fillId="0" borderId="0" xfId="0" pivotButton="1" applyFont="1" applyAlignment="1">
      <alignment horizontal="center" vertical="center" wrapText="1"/>
    </xf>
    <xf numFmtId="0" fontId="25" fillId="0" borderId="0" xfId="0" applyFont="1" applyAlignment="1">
      <alignment horizontal="center" vertical="center" wrapText="1"/>
    </xf>
    <xf numFmtId="0" fontId="16" fillId="0" borderId="0" xfId="0" applyFont="1" applyAlignment="1">
      <alignment horizontal="center"/>
    </xf>
    <xf numFmtId="0" fontId="17" fillId="0" borderId="0" xfId="0" applyFont="1" applyAlignment="1">
      <alignment horizontal="center"/>
    </xf>
    <xf numFmtId="0" fontId="0" fillId="0" borderId="0" xfId="0" applyNumberFormat="1"/>
    <xf numFmtId="0" fontId="20" fillId="0" borderId="0" xfId="0" applyNumberFormat="1" applyFont="1" applyAlignment="1">
      <alignment horizontal="center" vertical="center"/>
    </xf>
    <xf numFmtId="0" fontId="0" fillId="0" borderId="0" xfId="0" applyNumberFormat="1" applyAlignment="1">
      <alignment horizontal="center" vertical="center"/>
    </xf>
    <xf numFmtId="165" fontId="21" fillId="0" borderId="0" xfId="0" applyNumberFormat="1" applyFont="1" applyAlignment="1">
      <alignment horizontal="center" vertical="center"/>
    </xf>
    <xf numFmtId="0" fontId="0" fillId="0" borderId="0" xfId="0" pivotButton="1" applyNumberFormat="1" applyAlignment="1">
      <alignment horizontal="center" vertical="center"/>
    </xf>
    <xf numFmtId="0" fontId="21" fillId="0" borderId="0" xfId="0" applyNumberFormat="1" applyFont="1" applyAlignment="1">
      <alignment horizontal="center" vertical="center"/>
    </xf>
    <xf numFmtId="0" fontId="21" fillId="0" borderId="0" xfId="3" applyNumberFormat="1" applyFont="1" applyAlignment="1">
      <alignment horizontal="center" vertical="center"/>
    </xf>
    <xf numFmtId="168" fontId="21" fillId="0" borderId="0" xfId="0" applyNumberFormat="1" applyFont="1" applyAlignment="1">
      <alignment horizontal="center" vertical="center"/>
    </xf>
    <xf numFmtId="0" fontId="26" fillId="0" borderId="0" xfId="0" applyFont="1" applyAlignment="1">
      <alignment horizontal="center" vertical="center" wrapText="1"/>
    </xf>
    <xf numFmtId="0" fontId="26" fillId="0" borderId="0" xfId="0" applyFont="1" applyAlignment="1">
      <alignment horizontal="center" vertical="center"/>
    </xf>
    <xf numFmtId="0" fontId="1" fillId="0" borderId="0" xfId="0" pivotButton="1" applyFont="1" applyAlignment="1">
      <alignment horizontal="center" vertical="center" wrapText="1"/>
    </xf>
    <xf numFmtId="0" fontId="1" fillId="0" borderId="0" xfId="0" applyFont="1" applyAlignment="1">
      <alignment horizontal="center" vertical="center" wrapText="1"/>
    </xf>
    <xf numFmtId="0" fontId="1" fillId="0" borderId="0" xfId="0" applyNumberFormat="1" applyFont="1" applyAlignment="1">
      <alignment horizontal="center" vertical="center" wrapText="1"/>
    </xf>
    <xf numFmtId="0" fontId="1" fillId="0" borderId="0" xfId="0" pivotButton="1" applyNumberFormat="1" applyFont="1"/>
    <xf numFmtId="0" fontId="8" fillId="0" borderId="0" xfId="0" applyNumberFormat="1" applyFont="1" applyAlignment="1">
      <alignment horizontal="left"/>
    </xf>
  </cellXfs>
  <cellStyles count="4">
    <cellStyle name="Comma" xfId="3" builtinId="3"/>
    <cellStyle name="Currency" xfId="1" builtinId="4"/>
    <cellStyle name="Normal" xfId="0" builtinId="0"/>
    <cellStyle name="Percent" xfId="2" builtinId="5"/>
  </cellStyles>
  <dxfs count="200">
    <dxf>
      <numFmt numFmtId="168" formatCode="&quot;$&quot;#,##0.00"/>
    </dxf>
    <dxf>
      <numFmt numFmtId="0" formatCode="General"/>
    </dxf>
    <dxf>
      <numFmt numFmtId="0" formatCode="General"/>
    </dxf>
    <dxf>
      <font>
        <b/>
      </font>
    </dxf>
    <dxf>
      <font>
        <name val="Baskerville"/>
        <family val="1"/>
        <scheme val="none"/>
      </font>
    </dxf>
    <dxf>
      <numFmt numFmtId="165" formatCode="&quot;$&quot;#,##0"/>
    </dxf>
    <dxf>
      <alignment horizontal="center"/>
    </dxf>
    <dxf>
      <alignment vertical="center"/>
    </dxf>
    <dxf>
      <numFmt numFmtId="0" formatCode="General"/>
    </dxf>
    <dxf>
      <numFmt numFmtId="165" formatCode="&quot;$&quot;#,##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0" formatCode="General"/>
    </dxf>
    <dxf>
      <font>
        <sz val="12"/>
      </font>
      <numFmt numFmtId="165" formatCode="&quot;$&quot;#,##0"/>
    </dxf>
    <dxf>
      <numFmt numFmtId="165" formatCode="&quot;$&quot;#,##0"/>
    </dxf>
    <dxf>
      <numFmt numFmtId="0" formatCode="General"/>
    </dxf>
    <dxf>
      <numFmt numFmtId="0" formatCode="General"/>
    </dxf>
    <dxf>
      <alignment wrapText="1"/>
    </dxf>
    <dxf>
      <font>
        <sz val="12"/>
      </font>
    </dxf>
    <dxf>
      <alignment horizontal="center"/>
    </dxf>
    <dxf>
      <alignment vertical="center"/>
    </dxf>
    <dxf>
      <alignment vertical="center"/>
    </dxf>
    <dxf>
      <alignment vertical="center"/>
    </dxf>
    <dxf>
      <alignment horizontal="center"/>
    </dxf>
    <dxf>
      <alignment horizontal="center"/>
    </dxf>
    <dxf>
      <numFmt numFmtId="165" formatCode="&quot;$&quot;#,##0"/>
    </dxf>
    <dxf>
      <font>
        <name val="Baskerville"/>
        <family val="1"/>
        <scheme val="none"/>
      </font>
    </dxf>
    <dxf>
      <font>
        <b/>
      </font>
    </dxf>
    <dxf>
      <alignment wrapText="1"/>
    </dxf>
    <dxf>
      <font>
        <sz val="12"/>
      </font>
    </dxf>
    <dxf>
      <alignment horizontal="center"/>
    </dxf>
    <dxf>
      <alignment vertical="center"/>
    </dxf>
    <dxf>
      <alignment vertical="center"/>
    </dxf>
    <dxf>
      <alignment horizontal="center"/>
    </dxf>
    <dxf>
      <numFmt numFmtId="165" formatCode="&quot;$&quot;#,##0"/>
    </dxf>
    <dxf>
      <font>
        <name val="Arial"/>
        <family val="2"/>
      </font>
    </dxf>
    <dxf>
      <font>
        <name val="Baskerville"/>
        <family val="1"/>
        <scheme val="none"/>
      </font>
    </dxf>
    <dxf>
      <font>
        <b/>
      </font>
    </dxf>
    <dxf>
      <font>
        <sz val="12"/>
      </font>
    </dxf>
    <dxf>
      <font>
        <sz val="12"/>
      </font>
    </dxf>
    <dxf>
      <font>
        <name val="Arial"/>
        <scheme val="none"/>
      </font>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numFmt numFmtId="0" formatCode="General"/>
    </dxf>
    <dxf>
      <numFmt numFmtId="0" formatCode="General"/>
    </dxf>
    <dxf>
      <numFmt numFmtId="0" formatCode="General"/>
    </dxf>
    <dxf>
      <alignment wrapText="1"/>
    </dxf>
    <dxf>
      <alignment wrapText="1"/>
    </dxf>
    <dxf>
      <font>
        <sz val="12"/>
      </font>
    </dxf>
    <dxf>
      <font>
        <sz val="12"/>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165" formatCode="&quot;$&quot;#,##0"/>
    </dxf>
    <dxf>
      <font>
        <name val="Baskerville"/>
        <family val="1"/>
        <scheme val="none"/>
      </font>
    </dxf>
    <dxf>
      <font>
        <b/>
      </font>
    </dxf>
    <dxf>
      <alignment wrapText="1"/>
    </dxf>
    <dxf>
      <alignment wrapText="1"/>
    </dxf>
    <dxf>
      <font>
        <sz val="12"/>
      </font>
    </dxf>
    <dxf>
      <font>
        <sz val="12"/>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165" formatCode="&quot;$&quot;#,##0"/>
    </dxf>
    <dxf>
      <font>
        <name val="Arial"/>
        <family val="2"/>
      </font>
    </dxf>
    <dxf>
      <font>
        <name val="Baskerville"/>
        <family val="1"/>
        <scheme val="none"/>
      </font>
    </dxf>
    <dxf>
      <font>
        <b/>
      </font>
    </dxf>
    <dxf>
      <alignment vertical="center"/>
    </dxf>
    <dxf>
      <alignment horizontal="center"/>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font>
        <sz val="12"/>
      </font>
      <numFmt numFmtId="165" formatCode="&quot;$&quot;#,##0"/>
    </dxf>
    <dxf>
      <numFmt numFmtId="0" formatCode="General"/>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5" formatCode="&quot;$&quot;#,##0"/>
    </dxf>
    <dxf>
      <numFmt numFmtId="0" formatCode="General"/>
    </dxf>
    <dxf>
      <alignment vertical="center"/>
    </dxf>
    <dxf>
      <alignment horizontal="center"/>
    </dxf>
    <dxf>
      <numFmt numFmtId="165" formatCode="&quot;$&quot;#,##0"/>
    </dxf>
    <dxf>
      <font>
        <name val="Baskerville"/>
        <family val="1"/>
        <scheme val="none"/>
      </font>
    </dxf>
    <dxf>
      <font>
        <b/>
      </font>
    </dxf>
    <dxf>
      <numFmt numFmtId="0" formatCode="General"/>
    </dxf>
    <dxf>
      <numFmt numFmtId="0" formatCode="General"/>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165" formatCode="&quot;$&quot;#,##0"/>
    </dxf>
    <dxf>
      <numFmt numFmtId="0" formatCode="General"/>
    </dxf>
    <dxf>
      <alignment vertical="center"/>
    </dxf>
    <dxf>
      <alignment horizontal="center"/>
    </dxf>
    <dxf>
      <numFmt numFmtId="165" formatCode="&quot;$&quot;#,##0"/>
    </dxf>
    <dxf>
      <font>
        <name val="Baskerville"/>
        <family val="1"/>
        <scheme val="none"/>
      </font>
    </dxf>
    <dxf>
      <font>
        <b/>
      </font>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border diagonalUp="0" diagonalDown="0" outline="0">
        <left/>
        <right style="dashed">
          <color theme="0" tint="-0.249977111117893"/>
        </right>
        <top/>
        <bottom/>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border outline="0">
        <left/>
        <right style="dashed">
          <color theme="0" tint="-0.249977111117893"/>
        </right>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6" formatCode="[$-409]d\-mmm\-yy;@"/>
      <alignment horizontal="left" vertical="center" textRotation="0" wrapText="0" indent="0" justifyLastLine="0" shrinkToFit="0" readingOrder="0"/>
      <border diagonalUp="0" diagonalDown="0" outline="0">
        <left style="dashed">
          <color theme="0" tint="-0.249977111117893"/>
        </left>
        <right/>
        <top/>
        <bottom/>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border diagonalUp="0" diagonalDown="0" outline="0">
        <left style="dashed">
          <color theme="0" tint="-0.249977111117893"/>
        </left>
        <right/>
        <top/>
        <bottom/>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left" vertical="center" textRotation="0" wrapText="0" indent="0" justifyLastLine="0" shrinkToFit="0" readingOrder="0"/>
    </dxf>
    <dxf>
      <font>
        <b/>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7" formatCode="0.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6" formatCode="[$-409]d\-mmm\-yy;@"/>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4" formatCode="[$-409]mmmm\ d\,\ yyyy;@"/>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1"/>
        <color theme="0"/>
        <name val="Arial"/>
        <family val="2"/>
        <scheme val="none"/>
      </font>
      <fill>
        <patternFill patternType="solid">
          <fgColor indexed="64"/>
          <bgColor theme="1" tint="0.34998626667073579"/>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name val="Arial"/>
        <family val="2"/>
        <scheme val="none"/>
      </font>
      <border diagonalUp="0" diagonalDown="0">
        <left/>
        <right/>
        <top/>
        <bottom/>
        <vertical/>
        <horizontal/>
      </border>
    </dxf>
    <dxf>
      <font>
        <color theme="1"/>
      </font>
      <border diagonalUp="0" diagonalDown="0">
        <left/>
        <right/>
        <top/>
        <bottom/>
        <vertical/>
        <horizontal/>
      </border>
    </dxf>
    <dxf>
      <font>
        <color theme="1"/>
        <name val="Arial"/>
        <family val="2"/>
        <scheme val="none"/>
      </font>
      <border diagonalUp="0" diagonalDown="0">
        <left/>
        <right/>
        <top/>
        <bottom/>
        <vertical/>
        <horizontal/>
      </border>
    </dxf>
    <dxf>
      <font>
        <color theme="1"/>
      </font>
      <border diagonalUp="0" diagonalDown="0">
        <left/>
        <right/>
        <top/>
        <bottom/>
        <vertical/>
        <horizontal/>
      </border>
    </dxf>
  </dxfs>
  <tableStyles count="2" defaultTableStyle="TableStyleMedium2" defaultPivotStyle="PivotStyleLight16">
    <tableStyle name="Monthly_Slicer" pivot="0" table="0" count="10" xr9:uid="{EA9D0431-7D6A-41AC-96C3-6F14F050B6DA}">
      <tableStyleElement type="wholeTable" dxfId="199"/>
      <tableStyleElement type="headerRow" dxfId="198"/>
    </tableStyle>
    <tableStyle name="SlicerStyleLight3 2 2" pivot="0" table="0" count="10" xr9:uid="{D39D63A5-2F22-AF4C-B367-9C4CE96ADB87}">
      <tableStyleElement type="wholeTable" dxfId="197"/>
      <tableStyleElement type="headerRow" dxfId="196"/>
    </tableStyle>
  </tableStyles>
  <colors>
    <mruColors>
      <color rgb="FFCDCBC9"/>
      <color rgb="FFF5F5F5"/>
      <color rgb="FFCCCBC9"/>
      <color rgb="FF3849AB"/>
      <color rgb="FFC55A11"/>
      <color rgb="FFFDF3E7"/>
      <color rgb="FFEBF5EC"/>
      <color rgb="FFECF4EC"/>
      <color rgb="FFF8E7D4"/>
      <color rgb="FFA6A6A6"/>
    </mruColors>
  </colors>
  <extLst>
    <ext xmlns:x14="http://schemas.microsoft.com/office/spreadsheetml/2009/9/main" uri="{46F421CA-312F-682f-3DD2-61675219B42D}">
      <x14:dxfs count="16">
        <dxf>
          <font>
            <color rgb="FF000000"/>
            <name val="Arial"/>
            <family val="2"/>
            <scheme val="none"/>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000000"/>
            <name val="Abadi Extra Light"/>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color theme="1" tint="0.499984740745262"/>
            <name val="Arial"/>
            <family val="2"/>
            <scheme val="none"/>
          </font>
          <fill>
            <patternFill patternType="solid">
              <fgColor auto="1"/>
              <bgColor theme="6" tint="0.79998168889431442"/>
            </patternFill>
          </fill>
          <border diagonalUp="0" diagonalDown="0">
            <left/>
            <right/>
            <top/>
            <bottom/>
            <vertical/>
            <horizontal/>
          </border>
        </dxf>
        <dxf>
          <font>
            <b val="0"/>
            <i val="0"/>
            <color theme="1"/>
            <name val="Arial"/>
            <family val="2"/>
            <scheme val="none"/>
          </font>
          <fill>
            <patternFill patternType="solid">
              <fgColor auto="1"/>
              <bgColor theme="6" tint="0.79998168889431442"/>
            </patternFill>
          </fill>
          <border diagonalUp="0" diagonalDown="0">
            <left/>
            <right/>
            <top/>
            <bottom/>
            <vertical/>
            <horizontal/>
          </border>
        </dxf>
        <dxf>
          <font>
            <color rgb="FF828282"/>
            <name val="Arial"/>
            <family val="2"/>
            <scheme val="none"/>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b val="0"/>
            <i val="0"/>
            <sz val="11"/>
            <color theme="1" tint="0.24994659260841701"/>
            <name val="Arial"/>
            <family val="2"/>
            <scheme val="none"/>
          </font>
          <fill>
            <patternFill patternType="none">
              <fgColor indexed="64"/>
              <bgColor auto="1"/>
            </patternFill>
          </fill>
          <border diagonalUp="0" diagonalDown="0">
            <left/>
            <right/>
            <top/>
            <bottom/>
            <vertical/>
            <horizontal/>
          </border>
        </dxf>
        <dxf>
          <font>
            <color rgb="FF828282"/>
            <name val="Arial"/>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1" tint="0.499984740745262"/>
            <name val="Arial"/>
            <family val="2"/>
            <scheme val="none"/>
          </font>
          <fill>
            <patternFill patternType="none">
              <fgColor indexed="64"/>
              <bgColor auto="1"/>
            </patternFill>
          </fill>
          <border diagonalUp="0" diagonalDown="0">
            <left/>
            <right/>
            <top/>
            <bottom/>
            <vertical/>
            <horizontal/>
          </border>
        </dxf>
        <dxf>
          <font>
            <color rgb="FF000000"/>
            <name val="Arial"/>
            <family val="2"/>
            <scheme val="none"/>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000000"/>
            <name val="Abadi Extra Light"/>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color theme="1" tint="0.24994659260841701"/>
            <name val="Arial"/>
            <family val="2"/>
            <scheme val="none"/>
          </font>
          <fill>
            <patternFill patternType="solid">
              <fgColor auto="1"/>
              <bgColor theme="0"/>
            </patternFill>
          </fill>
          <border diagonalUp="0" diagonalDown="0">
            <left/>
            <right/>
            <top/>
            <bottom/>
            <vertical/>
            <horizontal/>
          </border>
        </dxf>
        <dxf>
          <font>
            <b/>
            <i val="0"/>
            <color theme="1"/>
            <name val="Arial"/>
            <family val="2"/>
            <scheme val="none"/>
          </font>
          <fill>
            <patternFill patternType="solid">
              <fgColor auto="1"/>
              <bgColor theme="0"/>
            </patternFill>
          </fill>
          <border diagonalUp="0" diagonalDown="0">
            <left/>
            <right/>
            <top/>
            <bottom/>
            <vertical/>
            <horizontal/>
          </border>
        </dxf>
        <dxf>
          <font>
            <color rgb="FF828282"/>
            <name val="Arial"/>
            <family val="2"/>
            <scheme val="none"/>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b val="0"/>
            <i val="0"/>
            <sz val="11"/>
            <color rgb="FF000000"/>
            <name val="Arial"/>
            <family val="2"/>
            <scheme val="none"/>
          </font>
          <fill>
            <patternFill patternType="none">
              <fgColor indexed="64"/>
              <bgColor auto="1"/>
            </patternFill>
          </fill>
          <border diagonalUp="0" diagonalDown="0">
            <left/>
            <right/>
            <top/>
            <bottom/>
            <vertical/>
            <horizontal/>
          </border>
        </dxf>
        <dxf>
          <font>
            <color rgb="FF828282"/>
            <name val="Arial"/>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0" tint="-0.499984740745262"/>
            <name val="Arial"/>
            <family val="2"/>
            <scheme val="none"/>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Monthly_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3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[95 Supply Chain and Freight Analytics Dashboard.xlsm]Pivottable!PivotTable4</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rgbClr val="3849AB"/>
            </a:solidFill>
            <a:round/>
          </a:ln>
          <a:effectLst/>
        </c:spPr>
        <c:marker>
          <c:symbol val="diamond"/>
          <c:size val="6"/>
          <c:spPr>
            <a:solidFill>
              <a:srgbClr val="3849AB"/>
            </a:solidFill>
            <a:ln w="222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Pivottable!$H$10</c:f>
              <c:strCache>
                <c:ptCount val="1"/>
                <c:pt idx="0">
                  <c:v>Total</c:v>
                </c:pt>
              </c:strCache>
            </c:strRef>
          </c:tx>
          <c:spPr>
            <a:ln w="22225" cap="rnd">
              <a:solidFill>
                <a:srgbClr val="3849AB"/>
              </a:solidFill>
              <a:round/>
            </a:ln>
            <a:effectLst/>
          </c:spPr>
          <c:marker>
            <c:symbol val="diamond"/>
            <c:size val="6"/>
            <c:spPr>
              <a:solidFill>
                <a:srgbClr val="3849AB"/>
              </a:solidFill>
              <a:ln w="22225">
                <a:solidFill>
                  <a:schemeClr val="bg1"/>
                </a:solidFill>
              </a:ln>
              <a:effectLst/>
            </c:spPr>
          </c:marker>
          <c:cat>
            <c:strRef>
              <c:f>Pivottable!$G$11:$G$23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Pivottable!$H$11:$H$23</c:f>
              <c:numCache>
                <c:formatCode>"$"#,##0</c:formatCode>
                <c:ptCount val="12"/>
                <c:pt idx="0">
                  <c:v>11948.7</c:v>
                </c:pt>
                <c:pt idx="1">
                  <c:v>12138.8</c:v>
                </c:pt>
                <c:pt idx="2">
                  <c:v>9471.5</c:v>
                </c:pt>
                <c:pt idx="3">
                  <c:v>14518.7</c:v>
                </c:pt>
                <c:pt idx="4">
                  <c:v>28743.599999999999</c:v>
                </c:pt>
                <c:pt idx="5">
                  <c:v>16091.6</c:v>
                </c:pt>
                <c:pt idx="6">
                  <c:v>61991.199999999997</c:v>
                </c:pt>
                <c:pt idx="7">
                  <c:v>20036.8</c:v>
                </c:pt>
                <c:pt idx="8">
                  <c:v>28740.799999999999</c:v>
                </c:pt>
                <c:pt idx="9">
                  <c:v>33422</c:v>
                </c:pt>
                <c:pt idx="10">
                  <c:v>15818.5</c:v>
                </c:pt>
                <c:pt idx="11">
                  <c:v>11270.7</c:v>
                </c:pt>
              </c:numCache>
            </c:numRef>
          </c:val>
          <c:smooth val="1"/>
          <c:extLst>
            <c:ext xmlns:c16="http://schemas.microsoft.com/office/drawing/2014/chart" uri="{C3380CC4-5D6E-409C-BE32-E72D297353CC}">
              <c16:uniqueId val="{00000000-E6DD-1F43-835B-E60431EBD8AC}"/>
            </c:ext>
          </c:extLst>
        </c:ser>
        <c:dLbls>
          <c:showLegendKey val="0"/>
          <c:showVal val="0"/>
          <c:showCatName val="0"/>
          <c:showSerName val="0"/>
          <c:showPercent val="0"/>
          <c:showBubbleSize val="0"/>
        </c:dLbls>
        <c:marker val="1"/>
        <c:smooth val="0"/>
        <c:axId val="2004655856"/>
        <c:axId val="2004657584"/>
      </c:lineChart>
      <c:catAx>
        <c:axId val="2004655856"/>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Times New Roman" panose="02020603050405020304" pitchFamily="18" charset="0"/>
                <a:ea typeface="+mn-ea"/>
                <a:cs typeface="Times New Roman" panose="02020603050405020304" pitchFamily="18" charset="0"/>
              </a:defRPr>
            </a:pPr>
            <a:endParaRPr lang="en-US"/>
          </a:p>
        </c:txPr>
        <c:crossAx val="2004657584"/>
        <c:crosses val="autoZero"/>
        <c:auto val="1"/>
        <c:lblAlgn val="ctr"/>
        <c:lblOffset val="100"/>
        <c:noMultiLvlLbl val="0"/>
      </c:catAx>
      <c:valAx>
        <c:axId val="2004657584"/>
        <c:scaling>
          <c:orientation val="minMax"/>
        </c:scaling>
        <c:delete val="0"/>
        <c:axPos val="l"/>
        <c:majorGridlines>
          <c:spPr>
            <a:ln w="6350" cap="flat" cmpd="sng" algn="ctr">
              <a:solidFill>
                <a:schemeClr val="tx1">
                  <a:lumMod val="15000"/>
                  <a:lumOff val="85000"/>
                </a:schemeClr>
              </a:solidFill>
              <a:prstDash val="lgDash"/>
              <a:round/>
            </a:ln>
            <a:effectLst/>
          </c:spPr>
        </c:majorGridlines>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004655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[95 Supply Chain and Freight Analytics Dashboard.xlsm]Pivottable!PivotTable6</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BF5EC"/>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Pivottable!$AJ$10</c:f>
              <c:strCache>
                <c:ptCount val="1"/>
                <c:pt idx="0">
                  <c:v>Sum of Rate</c:v>
                </c:pt>
              </c:strCache>
            </c:strRef>
          </c:tx>
          <c:spPr>
            <a:solidFill>
              <a:srgbClr val="EBF5EC"/>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Pivottable!$AI$11:$AI$23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Pivottable!$AJ$11:$AJ$23</c:f>
              <c:numCache>
                <c:formatCode>"$"#,##0</c:formatCode>
                <c:ptCount val="12"/>
                <c:pt idx="0">
                  <c:v>16668</c:v>
                </c:pt>
                <c:pt idx="1">
                  <c:v>18268</c:v>
                </c:pt>
                <c:pt idx="2">
                  <c:v>17290</c:v>
                </c:pt>
                <c:pt idx="3">
                  <c:v>19299</c:v>
                </c:pt>
                <c:pt idx="4">
                  <c:v>35060</c:v>
                </c:pt>
                <c:pt idx="5">
                  <c:v>21728</c:v>
                </c:pt>
                <c:pt idx="6">
                  <c:v>81336</c:v>
                </c:pt>
                <c:pt idx="7">
                  <c:v>26172</c:v>
                </c:pt>
                <c:pt idx="8">
                  <c:v>34532</c:v>
                </c:pt>
                <c:pt idx="9">
                  <c:v>48914</c:v>
                </c:pt>
                <c:pt idx="10">
                  <c:v>23910</c:v>
                </c:pt>
                <c:pt idx="11">
                  <c:v>15861</c:v>
                </c:pt>
              </c:numCache>
            </c:numRef>
          </c:val>
          <c:extLst>
            <c:ext xmlns:c16="http://schemas.microsoft.com/office/drawing/2014/chart" uri="{C3380CC4-5D6E-409C-BE32-E72D297353CC}">
              <c16:uniqueId val="{00000000-0E34-034B-94A2-E56D81488061}"/>
            </c:ext>
          </c:extLst>
        </c:ser>
        <c:ser>
          <c:idx val="1"/>
          <c:order val="1"/>
          <c:tx>
            <c:strRef>
              <c:f>Pivottable!$AK$10</c:f>
              <c:strCache>
                <c:ptCount val="1"/>
                <c:pt idx="0">
                  <c:v>Sum of Total Expenses</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Pivottable!$AI$11:$AI$23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Pivottable!$AK$11:$AK$23</c:f>
              <c:numCache>
                <c:formatCode>"$"#,##0</c:formatCode>
                <c:ptCount val="12"/>
                <c:pt idx="0">
                  <c:v>4719.2999999999993</c:v>
                </c:pt>
                <c:pt idx="1">
                  <c:v>6129.2</c:v>
                </c:pt>
                <c:pt idx="2">
                  <c:v>7818.5</c:v>
                </c:pt>
                <c:pt idx="3">
                  <c:v>4780.2999999999993</c:v>
                </c:pt>
                <c:pt idx="4">
                  <c:v>6316.4</c:v>
                </c:pt>
                <c:pt idx="5">
                  <c:v>5636.4</c:v>
                </c:pt>
                <c:pt idx="6">
                  <c:v>19344.8</c:v>
                </c:pt>
                <c:pt idx="7">
                  <c:v>6135.2</c:v>
                </c:pt>
                <c:pt idx="8">
                  <c:v>5791.2</c:v>
                </c:pt>
                <c:pt idx="9">
                  <c:v>15492.000000000002</c:v>
                </c:pt>
                <c:pt idx="10">
                  <c:v>8091.5</c:v>
                </c:pt>
                <c:pt idx="11">
                  <c:v>4590.2999999999993</c:v>
                </c:pt>
              </c:numCache>
            </c:numRef>
          </c:val>
          <c:extLst>
            <c:ext xmlns:c16="http://schemas.microsoft.com/office/drawing/2014/chart" uri="{C3380CC4-5D6E-409C-BE32-E72D297353CC}">
              <c16:uniqueId val="{00000001-0E34-034B-94A2-E56D81488061}"/>
            </c:ext>
          </c:extLst>
        </c:ser>
        <c:dLbls>
          <c:dLblPos val="inBase"/>
          <c:showLegendKey val="0"/>
          <c:showVal val="1"/>
          <c:showCatName val="0"/>
          <c:showSerName val="0"/>
          <c:showPercent val="0"/>
          <c:showBubbleSize val="0"/>
        </c:dLbls>
        <c:gapWidth val="219"/>
        <c:overlap val="-27"/>
        <c:axId val="1163350896"/>
        <c:axId val="1163769776"/>
      </c:barChart>
      <c:catAx>
        <c:axId val="116335089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tx1">
                    <a:lumMod val="50000"/>
                    <a:lumOff val="50000"/>
                  </a:schemeClr>
                </a:solidFill>
                <a:latin typeface="Times New Roman" panose="02020603050405020304" pitchFamily="18" charset="0"/>
                <a:ea typeface="+mn-ea"/>
                <a:cs typeface="Times New Roman" panose="02020603050405020304" pitchFamily="18" charset="0"/>
              </a:defRPr>
            </a:pPr>
            <a:endParaRPr lang="en-US"/>
          </a:p>
        </c:txPr>
        <c:crossAx val="1163769776"/>
        <c:crosses val="autoZero"/>
        <c:auto val="1"/>
        <c:lblAlgn val="ctr"/>
        <c:lblOffset val="100"/>
        <c:noMultiLvlLbl val="0"/>
      </c:catAx>
      <c:valAx>
        <c:axId val="1163769776"/>
        <c:scaling>
          <c:orientation val="minMax"/>
        </c:scaling>
        <c:delete val="1"/>
        <c:axPos val="l"/>
        <c:numFmt formatCode="&quot;$&quot;#,##0" sourceLinked="1"/>
        <c:majorTickMark val="none"/>
        <c:minorTickMark val="none"/>
        <c:tickLblPos val="nextTo"/>
        <c:crossAx val="1163350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umDim>
    </cx:data>
  </cx:chartData>
  <cx:chart>
    <cx:plotArea>
      <cx:plotAreaRegion>
        <cx:series layoutId="regionMap" uniqueId="{B67E73A0-2910-9C41-AFAF-00D572C1034B}">
          <cx:dataId val="0"/>
          <cx:layoutPr>
            <cx:geography cultureLanguage="en-US" cultureRegion="US" attribution="Powered by Bing">
              <cx:geoCache provider="{E9337A44-BEBE-4D9F-B70C-5C5E7DAFC167}">
                <cx:binary>1HvZctw4suivOPx86SZIEAQmpidiuNTC0mbJW/uFoZZlEiRIkADB7etvFkrtkjTuWeKcuHGnwgFj
SYCJTCCRm/76MP/lQTzeqzdzI1r9l4f517flMHR/+eUX/VA+Nvf6XcMflNTy+/DuQTa/yO/f+cPj
L9/U/cTb4hfPRfiXh/JeDY/z27/9FVYrHuWFfLgfuGzfm0e13D5qIwb9T8Z+OvTmQZp2OE4vYKVf
38b37f23+7dvHtuBD8uHpXv89e0LkLdvfnm90D989I0AvAbzDeYS710QYg8h5Ln2h96+EbItnoYd
Rt4RN2TIReQ07v/x7av7Bub/a3wsNvffvqlHrd88/X+e9wL3czfXMj5tPJZHNOO/23398pKwf/vr
qw7Y6aueZ7R/TZZ/NQTINrxNuB4UfxjQr2+vTHs/muEPApyI/wLoPyV+8A67PsaeT/+M+C7BOPCR
fxrHf3z7RPx/A6GfU//HxBfYww4/vv2zA/f/J0cepzeRMq2e+EP9B23+53zB5F3AkE8C6rLT7+Wl
IOQdCqlPQvI0Hvzx7Se+/Lto/Ql3Xk5/zaPov4tHl/ctH+Tvr2TWi039h9cmwO+Y7waBj/0Td8KX
7GHhO+yDxArcJ/aQl+z5dzD6OWfOM1/g/+vby/8ypkSKD1yXb2IpTPM7/99lTkA8uBDPXxHkBe8Q
IkGAvVe8+E8Q+TlP/nGFV7yJ4v+uC3Mlx/s3dw9y+N9kCw7eua6PCHl65l14x59ziPjwzpMQMQaX
6aRcPMmyfw+bn/PmxVZeseXq7r+LLb+ZWrZ/0OZ//sYcCe6HYRhgoPnx90qIIT94FyCfehi/ujIW
kTcfHhXcYamWf4bSz7nyDwu84sxvH/67OPN38fujGv43ZRhIKwJPTBg+PSD05WVBCANvUMgC95VG
9m+g8nOe/Jj4ihd//3/9sPy5/vzDjEjuh/vU2h/PVOh/Pmo3DSbRq6kvzJgXO//jVO+//frWY+z4
bPywa46LvJBRd/e6vh/ATpvuf9zQZxMf7/Xw61sHNIJ3fsACYBoobmD0eG/fTI+nIeS+fdNKNZRg
EbkgKV1grsfgACBMgcVamuMQpu8YoyGjfuj6BPke/WHr3UixFLL9QYWn9pvWNDeSt4P+9S1Cb990
J7AjcpgShuHeuz5z8VGbcQGH7uH+FuzJI/T/4Wh1BUMzuQEjYLpksm/SJr8reIWnyNRfRdjFdJ78
69HnztaYtrrk0+jBgflBqZ9hERw39AIPyghmxPNgswiog+BpeI6HqWrsFgUrrmo1SxHN8rKo8iZj
qGmz8FjMFSkio2gXe47YtxNqMguRcwCzNdtnuBvWEVvdaueMKs3dIGZNOe8q6rfZxOWyK7AXB/2a
bxESm1yObUaPhez8yBs53dlPDut4ArDfFrKpE2DdGv3pd3+GS2mYs3FDfjGM67TG3Uzcjcn762lZ
20yoadzgdbqxS9pdEF3IbTM8bceuGM7aTSvhzhk1ZZ61gceTSax55IXAkDR05jFu3aGPfBUXrPIu
FtFE3sT4ZnWGcu/mumuisfWXrB/N8+J1n5mnTVGFt4HJYYYFLpyxh8nLfHCpmJOFTSheHe5uHG91
UIraRmfc+MqNl4WpLKdGZ7Z2Gp+n9j0PnCDpMPW3w4qDNOicPvNfFm6OlYjOnWeYmeZVnAs6x3aU
tb1+AizQesfd72A7dVmB19tR8H4z+3W/xhXvZFb+KLApZDahWWa2ZgfOfTNURWTbeHE+ENjmLnTW
elt2XEfMVSazRaNck5GcPzUJbmmimrIFtXANxGvA87xnk50OWALHK+5J4G6X3v8cqHrNwmMxreGS
2aat0WYNdu3qxLarrPgWrjDf2TEsB91EdgAPhfJiMsCavj9529zlWa0HL5KDgCPO28nNWmmWJpIq
KOPe00FcFYGbmYoET+OaODBuey18H5Qoa7HCO2eQie1fjL90H+yAbTttX+0JLjceLrzUuMJEUxXc
ar1Ue+k4f9DT0tyS+0Rky5dT1fa+4kk59Dxda0Q23Mgqpkt1Fy65zHw1yGxuKRdR4yCZ6UJB1Q7Z
9rn4WV/reyoO/FKndFnUHo3r18rp26zRZV5HtrroxW92/HgjOzTyNbbV+thedH8hcH5pejNcTm3M
/AFuAWa53ul8dnZLx+O26sfMFjRYxiw/Fn/aF8zd1rSGbWqFaFYZv90Yux+7S7sVedykrYlO6DW2
I27l/FF9Bok0jajPojrv3IsVvASJ28o68jGfM7fOq+ZUte1OAlEbL0exnNSc6ZJMGel0gGJaVQcg
hN42xwELvAiyGUmn0kW1OCvypos4aYutImOXnQttcJcRvQi4lG7ViKg/dtjxU/sMGoSu2E2k4du8
L7ZhyVm8FNzZ9fNMhy/2aIz29tpTUZSBTFA7oGTs8AfV5eFn3dM5qfPRiVRbsE0v/DEjZR85Q9Ht
5bFlu+YuZ4ANxmjD5vXG9hX+mMN7YsyYobp0ROR4i5/AS9imtGP5IZJOcSPWSWWClSDQZKCyBhej
iGynbZ+HO8pi5ph196rfNm2Rz71OmmaSu25enf1ylDDOUZKgefCfqlaUnAs7bJurca+Vpv7Gts79
Z9iJr1uDptt6Arms62I+5Pmwdzvlp5WHyoMtvLEcdqIdt1i5NFqU78ZuVUQNb8QhKFl9CPj4VFsC
yhLRlSry2mLI+DoPmed7rnjW7pgcslEL6LTjtm0LbCGH1YQ7Osv42RLHxXTprk9TCIarpQmtTjB2
sjoua6fYpnbJ48JYn9o3xBZTqScRndu29uydqZZ7RMYlLXLRu6k5ivmyIzKjmoOUeFa1Q+FYdW5q
e237XDyD9CjvshPkedzWzhNZoYc1tp3Pqq+AbJPWMk84JlVUh3UlotdzzmvaEVs46wrI2+ozPF5B
nnZsO/tmAelwHn+2+ddDr9d/htSzWRbq9cZOWPVqvGvR1GzaZmJPElTYqpWYfeHQp94TwFmYWmF7
Liy4bVoQWzv3neFaQdvs3PwZ3DNh/gwrC+ksY5VWXe+xqtkLPqQ69MQaN0tTp2Kei6g+aoW6VsLh
p7oTitzFp7pqQnglsNBt5CjuJ+b4dNhC/6iNmrcZsRSgtjzV/bJFa8osOcbjWzLVtFhjZt+dU/cJ
8Hn9eY/9TFerdefxOX5a6PwtO2y/bVe3tWdfs20Lc1rz3D5jfgKv1ylPglBWEWtmULePRVlWek2X
IGgy7rnhEtvq6s8EFOtXAKUxdIFHBbTxU9UCnGDttNOEn0I9m2AXOMM/W88zXpnOINCiSYMq0Bea
pU3pfsqtYRBgOIVhy8aY1GFl3Bugdd2CsFLC2/ijt+8bZ2ljWu9VP6X1UkduqOSVS9F72c/Dx4HU
8GK2fZes6G6g9XJwZeftJuQdVImXw1zIm7LRnySi2yBYm1RQ4yT9RNu0V7xJxyCotnU18DKiGjmH
OZxRGtKcJy1V6mbsgzFxQ1BClA6Hgy3wVJtDo8I5qjwsN3VRRc7sfzRSPvSS958DpOc0YIu/lb7g
oDKrPp2UJ6O1XkxU1dTcGOL08dyF78O5rS+83N/UfJjjMDR+igtSRkqhKQsa0PqKHvkpcgi+nppH
B5k1RmXY7hQJg/3MWmdHq0/DOE37vB8++HhSCQracDsV4cd26vBt08vgELro95lPXWxpVnnzYzhh
5wIvzbh1RLfTPdfbwuvx5Yi7ogUVOk8H1ctLCbr0ZpzpGDUhLi67upmTtW+qWCCnOLTHAizgLjVc
DLumU48lyT85/txdTARNyVwyk9Vc1HELWvCS1GNDYr8Mh2iSfKriuuuDSDOEttrveNK4s4xI3fNN
WJTFduLj76Uz00txDK2xoDyIOgr8IlYUs1u3KVU8Od64XdFyp72dGvGm8huRBrwGfg1F/bWvP3OB
45BMfFuMy87hNb5ahU6mleNDm7vskuKeXQpa4O3a4u+2hVr+2dSujsCcDeM6EEO6zBW+5UUXuU1T
XbfI9e/6eqrjkmqWBbjsPk15AFYXbfrL8Nhs2Hhb58i5NsR0n0yxpLqe2a0dWzPC5uBO1nQ5eIWi
F0iW9MK0N7z74K9E5ZH0ivXGbFrejDfNUV8euFdEYd/hK5es+KprKjg/XrtGxRpKUBR8sJND0F6P
RUn8YV+WZjp4moYXobuEF+6x5gbFnFCcz/FwVIiLefA2pu+7yDZHh5Lt2vAxDgW7UIq2h3oQ8jBV
X0rkqVvc5tUH5oVbzxvdi0EXW+rP0/Ui9NcAN9MeaVkkHhrndJrCjLVzcYu5Kz9yB/SWclRRONE6
LnSwJH3P+cdSMJFRL+dxj/VmXlx01c1dypsgvKmYME5E229sxSZCUzu8b4kKgC5NcNdMdVKIqblW
uFg2eQiygwY1u61HquO1MzzOaaeiamT+zZK7Q8IIWFyV1DwbGnQnPPToDSX6HQ/0d+M3M9hlElgn
PHk1SlTuRJ/fzd0or3zR79sk6To3v6Cx9io3m+swLathuVpbZPbFyngUNB7O1mDSSY56FpXhOu6x
LvWuCHCVMDO1+zrM/atZqHKrMWo3RA0m5vVIPju6/oTaPHJySj4P4+jGgZj6aHFnJ17rCozItomQ
x0XcTVOzDxe+XgVDdang4r83jhp3wluTZphiURVflkWiD92cFxsq1jaZsb+mfji08VyhIAmFoYku
m+5aa3E1VoVz44+yB0WamI8KyB8hPU5f6wnf+Tn+2Heu3I+CfGEt6yLJxnHDPIGyWQxfmPKGq8At
h6s5EL+vJuhjScxdUVLxUBQgNbpvcm7S2e3VB2r41yAY+UUgArwBkqa8UtMDdp3bVakprdZqidzA
QYdOicQxobt3jHO9qtl/4H0VuaDYlhzUr0EWv/e5UhGnoBo3IofXWbtZARkHGQ0FWMFOLfdhyVoQ
4iu67prcvQ7ByVDQptzb1uSb5ZCveDcp4R5skft9sVn8CW3Wjo2pYv715IDlNKFp2Qth0nVc6MGQ
kB6UEOxUe9V0S29JHOr2iYOcKsrdCqyVer5V5d0Uro+1AHluhLqYSUmikPUkoQiUjqVu47wkKVoH
dsGJ41/PuetfE9JXF10n97ZVLf0UjcgMmyYv/Atb+GZXdWgzOf1B9DO/4poAc9qHoOD+vsk5HMeK
+BnvZv9UI2AATk0RZkVIm5hPzZg0DpnTEAs/IgVq3Eh7rhMXY2FSp1xzeADwI/gj+6yegiZRq1Nu
h8D7UFTYXExr227A7The+G63bNZe9NFaRg3p5ssO9PbIH40AV9S4xuGE5GXlNGWa636Ml/qqoMWu
zCsvncGvc7m+N+BhG/Y9A6Hk50Jf26JVNEi90n1YJO32C1cXbejxCC5DAhj2B1uE0oDo6ry+jfBR
Zg5gSJTxVEi2aStXRhX32jsVjt3GzcMv4KjtY86K5nru5ZjOuaPeO1WXp3oyc9ItakNY1abaCSew
wlHxQZm5j3Alw21PBnSpj0WLK3QJew4SrwOlyTbtADg8wUyq8m6fYzFkql3riHO3urWFm491mnty
SGfsVLeN9OrIcfJuU+eF10Sr46Ns1Q3K6nbVqar8MdVeeM2HUF4wUpoYcVneTgzMj8WZuowPFGTr
TUBDEBpFnhqxsu2MBR1Svy3LWHMqD6gW3aFoTXewzTlsHzpUenuyAObuXC3btuxRIpVqE4yq8sIW
tQEr0wVRuK3CIQTHiZPUujAHppoiYmwtl0Qx89AO89dyWabrnhX1ZzVEYhDTphlrlIB/FyWNn5PE
J1xf8dqNWEjZTe2N1UXZhiA3mjb1e8qPrqfhlvLJbAcTxtVcFOAErcPMG0OSkXYIwRuD12RsfBO5
Bfm4KNHeUwRPHzcj24hxLTfr1AhwwuoEt818uZAJmFkOPCq89lK1dLrsVZg5a4B2Q0uXLZsXJ1pY
J2IV8HLbfaqXLr91hCR7TYcDuK5F7I7E+zjWbhiVQbVsKCK/V6vDNkhosZUD4RE/Pi0BEjTx69ED
t61BB6cLvT6iXmz0EodltV73pdG3fBruitH0217mlN3N3lLvl47GBu6mbJruKgjNejtXFXjtHHB9
jH45NjF8vY556JodRBDWW4/AHjt9zRyvbQwGhSydjx5vNwTjp1lbUKEbpwNTx/YOHqKxK0QQKVzL
bDgWtpZ3cx0JxEYq26/DtF7TwQNrz7rLA7uKrZZyPFo6R/X8XFgPe1iAO7fxU6IHvAmOLlrpgcVu
a+fi3OcVRQmGcMyOlkiry9JN/aM5eKrScqx3mPbd1pnx10XWco2LAJAtnNxZU36sWvCcmQ9TiS8w
1zS27nzrWT9hb6t6RM4S26qQAvZkoUBZyYEXx41MNqhw6j22dR7Ao2vIzvru9czg6VnbJcrPFLE7
tgQ4dT5r/wg5TMulr9Z5b79si3Mwwzbt8meUbdMO2L4/bf7pUsLTOFJ9gjvXP7HIgg61/FIwmYZj
3iegdAHV/T70Y1U0LPLBtw+a9xIZGTyaowm6Hvlha+poB5+bsmyalDToe+F7IPuN6LOZmz7LwUG8
y3kvp8uxp23slmAkIWeF52Psd9W6wNkbjkvl1j42R4PZtm2gZJZVvcaTBN8m9xceMTw+nAlja7bQ
AX6/+O2w0d61qdS8tyEfPUIAACJBPqjD5soCOnOAkhIVMkKmb2Hp4/dEBb5/zUk8BWhOBMQAOCe3
vWb71Zn77Xw0Pld1dMnKGQXpCCSzJ9Wuz4Kjl28lxE87U/zmHH1QoEU2kdE6SCwI0toB18jR33Aq
sILvDzNKLCVtsYyJpjh8FtxilEM0a5nBjDI9vbPc6ivOomViNyRYvpV9Sfcw7xVjxOQ0+wF9s+Et
IcsUVeMAiDCQ3V5mrwkI4l1tIFywrvOhVaTZNIuXNY38HXlVnYLVVUb6yO4zfg6CV58UEAYd8EdO
mZPqsavWeKggIle5RcTZ0clFff3bzJifBnrpswZigSkcgC+ng2svla2avIT79az3dNVs7/l8T5r2
UW7knFiy+UexcaYiCusEN8Ows9fLrnUWOnaRc9OCnO637Xw15RiVcsruGgdIJYs5OhB7K57ydiMx
ZqClFBKlElSdxMdrFzUTNZtl7t5jsHrB42AOoQx2wdS890FhQhAXaYr8glR13KzDe3IM0bIwtV+t
pSkjrouICH9TdEOE4ATBYTlerpGQKAi6Ja69nSO1AQcU3uNS+ZG9aLIn4IYBfwScC9thRYatnYtz
nz8qALTtU/Vnc5AFOk+3bLdX5TTHtquh2rjgztxqPm0cTsLt6db9kAi2aRex8MRX+xCyJrcnQesD
GcUXCH4H2/NZbQmOl55NO9sFhj3IXitTTlXba9u2ZgtifWpFKG5Y2E8b7K1h2pN+i3WQngWHlR6n
ST+EiSeJ2tu49VP6wVPg+hROf5CgxfGifMqe/tH82wfZwD+b8nvuPCZfn1uXf2Rt/1Oo7aM8Zjvp
10BHbH6sBcg8YXdMQHjR+IdsiD/Jdzglgf/J4L+ZDAFpKRDA/xHi/4dkiKuX2aOnXC6bDXGa+ZQN
AflHIcQaQ9fzfQR5ecf8o6dsCMLeuYFH/AAxj4bIZfC9p+QIyIBwQxQGkJHgQv4CJAyckyMgJ4aQ
Y84spJjBpfHRf5Ic4cHnnyUlwGyG4EMUEqA8hMOAQgrO86SE3EVdWCGqd7guPlYaIqf9d7H2NClD
b06cwDsES/t1CeqvHIWHeiEkdvzBjWbR/dbTGjwXXd1v2aTK2BF1ly4FuSmWrgCXYdDEkP0DmmxO
wTIJRaxd8ESGs7tBFMR77qrNMwb8LMfiZYbFcTM+QpTAAxLg0GfecfxZpkdDR3BxlVW7k8b7XuDQ
RGCh8bSYNVjx1OcbvwZX3wD5A2APp6FhJqKzymN3MpelV46RLEfIcvxxKH6G02sCA5dogAgNcYgo
hmSWVzgh3iMBCuhOtyH4y9xur8fl8+B2ZOtycKiQ/rNfxdhr+6hYnE0z53rfG/UNk25NV+2zLRgB
PHJJ/qDBifovsDvmnJxzYwKIXSGPIIY9QA+UzNcU88AkM43K6x0quj7RPYvLpoh1s7qHsm8/IHAR
xI1W3aabDTipA79KdDOP6eL1+xL13vZf4PMyV+eIT+j5QegRCmmSCCovqdVVwh96yI/YBgi0KNU2
O0jHaGIIDvNEOfGM8VWjp4e2FeoS4nhTLJf10z/HwYPD/5IqAfIgQydkIdCGUgZpTK+w6Ea1wr2p
dsZrE1lUQ5pXutuCW1RQArpyrsfYjHrY8sWbo2Ko7gaIHKZ5z9eDr5akdZT7G5/5pp+7Zmfo3G0W
gVVCgw9KDzRp8wE8dB7dd1NOtzX4+rFgQ0J9+WFS4MpBBXaTUjV5RMLykjN/q6uZJiOWAShvw7cR
zH8w1/ItWJdFWgVq55hBRcsYXhYdgcBz8z6v4TsQZvWijj+uK3CQ+dWSTrBewcGDNnbTAGYtGGd8
1CFovvLB72a+NeK7FMXRCMov8cJ2Uygfy2Lh23YMvISLYIjKPDfxvGxaFvp7ZdZxg5AbgzfcjyB1
ac7Z8p4ViTMxJ3JxUW498X1wKgizS1LETetluKouFjBJYyBhGWPa/tZU4IXo+iWmsgarsuzZxVRC
OhHv+piVbjw7ZRhTNJSbwm9VLMZqSQhGh5lCSlPvGMgfaSB85dbOl5qE6drLJfLAMbQj+RStYflF
h20V96ja0QGcKYsY47IUB6UGL3aJAsVHTDTJnTrfhK27H1UP167uoxJye4yLy0wFPo08U35grQdJ
HAR02hEMDNGBAdo7c7oQ/Fi2YNxakjaqwnuFKxMPbnnfidzbhX4Z+YO8dtv6E4RVcKa7RSYFMp9M
13x3dEuu1ZC1BHxT4xduiuJGr2ASmnpJxTSMCZrdInbryYt1VeVRTUgOLinntvQJi30afM/XHIII
bnEDjjQZLd5wF+qVRiygB7hwVRS0DCWz5x6jguDr98IqXvXwHUseyU6x7VqYS+7x4jNCQywccsOk
V8bwR1yQB3QkcNm8L1SuEzUKtl2Y8wku82OPXXBgoMRl3SfOdR8N9bpspWq+MsEJ5G3wb8MAks2g
vo/E3Cwp4yYZBLuyHK8UvQXZGRVE9hEjAvxyHr0QcE4d8ACIIFTJyFbIlABRnuY5TarOeHFLgGuO
F25wTt3Iod6m8xqa1F6w03jIelNBElvB09ZVYjPg3Ikl3bTFEsRlPsh9kF8yhoqYu2aKhg4dWkKa
ZFib9wxMwhj0+GpPm0sbEunUvJG0/1ox0sQrZKaAKruYtA7h7nuyvaMtizVeyl1dLjQRoXdToOUw
jcEXZuDO+IvRkUuHbxSyaVJ7AdEAJ7b2y/e+65cbvQIvndC9XQVtNqhE4IqekYR8smW+UQ4QokLH
G+IjcFy1l3XFi6SQZUYKzeOgOR4OCclQbb0hPQiIjn/s5KwSq0sz4QEZw/sB7DOI87ob+EsFfdF3
wwU4QuoUTeoDhAa+CA9S6+pxmsG0wREkrjQQfwpaSINQXZwPXQBOuPA3uwHwKT0Emg9RL68wawIw
lMBYFaXbgFtgksng19t5naOGimK7+kW0YBIcajFddfXUb1BRHlSlW3DFj5uprPFe4HBLIC4En+26
zbD2ddTWH1s8xCasv88OdM6FILHszJq5/nrvE5p2VQfRF/gcrRYG3xy7uKDKjSoG5BgQf+8Z52NA
1i0kFga7Ej7CCnC4ky3iCIia9DVK3Wopk8JFdRqYAYT3Ehwqn0DOCJDJdQI/y6uqjcbpDudDdTMv
EFHnLmxYeV5+JXn9iYYrZOs4EH7EuGmTdg1RNEjgHJtGyO0qa+fgzsiPO9J+yFVkpUKAVgJpM2VU
5AxOA4Tso0rkByvaQdJVcDu/Y0ffkD4Xce/Cial9cQCHnQMxExDgdTQpJTdtu4L5JJ0qKSrJU1o4
F2st3/dElHDayZUVxOs4jJFThBt7MBcI/wAznK/LUVbVsvlixl4k8xgmsqzJdsLLts71AN5TkASu
ewl3aIzhVl52PiTgBY6iSbFClt3amnRW5W8OH7eLNr8DF6vIzwFGaVcmnHiXvoYzj2ZQ9yZBpqiA
zK54IGg7jWUdj0H3HhylTWyWXmWe8KLGXATN+L7D8Imug8MHIeEBNMV9W9OoQrhNTQXkqHqgrdGb
Oug+06V2YotYidYmhqyuhEkIaFbOpVzgFii4z2APtlldlHtTofnQ1JHXh220cFzvmtWBhylMddsE
UR98XkEuxbbhdQPUuuGzWPEWsqcm8IDprwLxIMLdercWfh07tHQhkt5djkPlJ2hoLxY2o9g3ZUYb
F4KYpl0TMZcRKms/cZxuH4Z4jWS93gvPzJuR4nbzfwn5jiVJYbXLd5k9EThhtkD6qizfZTZEmyok
gQwIIeDp55B3Fjf+mJjZZHRnZSZO+swxX2BsXQa2SgbxDjAS1+Djx5pGnsB9/Jo48OKUaUi4rC+L
rIfwZ94O4uNocZw+x9jNZdw1ZD/YhzYcA9wD1e80xM1z8+hINCFTDP3V1JXM/Rkqr94vBjXXVagi
xAs7sFLEMUSGZPxiIVilhzmRUWXi3JxGvsXsr64P9mkevwi1ktKP75rZBiWZsN8N76+x6R8z0v3y
1+GBDktQ1hExu2Syv5LI/g1yTz3Tlu0m1gTANtU7mZIKjCI/BCa5l5l6a8ZxKGk/97s0jIGxT48y
AawbKo5L192jtErsdXtMeY5iHbRaOfXGKxNHT8Y6PKUV6yuaU6wZTqD6crh8SU6mWYHiJdP9EKKY
6LTpd9juXTWKLDu6XUf+Wmp5Fdc9zqszupgUdiGiLVZkKEmRD7qgy2VYW/oEffSCu5adgpE/B73h
IFcDf09XHxmTN+9dIE9o+AoVe2+3H8wgKat6bR9CZpMCXkpkaB1OVSI3CjKxD65lzy1V1dDFTx26
xWrOm6kUef03B/dXyESAr0co3q0semzRMe6nJozeFjuUbRwXeqLJx7KCkvGEtudlyM7Ei1Gt8Gw6
kNbVO/D8vBC+N1/dwDkqJ6f2eSyDsvWillaL69oDN/lSJlxvZSBWUVODIc1ePRAowIZMDrTqojLy
nKFbISN26kApO4w52M8Gt6CGmPNAU/YGjIwW1kM6DoPQVRGKjz6GqDdd3Csd+St2sLdQgThm9d5F
4LPCIS1rQCEHBBBRdrVa93Q6RZLku3CcUSp1U+GsVFc0SS+BZ6cqEyhPV289eNiURS/ox5LS4D/l
ypjgR9p4fmx5Gu4Hn8sSEuLsNew4LfpVNXdNY1b0KApZcB7iwpfmDqDteg/gpaK1ONSpqwusUPuI
5Xft9NnF7UOYeeSUt5Mq4hdg3mHZS4KVNrqKJ/51VV63KURcMegVWJhCsAHBWOSq2/PJy0vBejAU
mWyKUDcI9nYB5Oyx/ZzMqkL5mQBrRvNMISrAMo2e+igCwrgE0TklgS6MqKMiijRqJQ8vVqtimllc
rVokxRg+jYHOqqXJOmwdWVK8k8Sg/dIOCm06d+vObAXtZO5ou/IdGpCfoAvaMtn7owlLLlwI3tVG
ZXBBnAmKzEdp7QO7LZivDwwtSEGc/O10pE5yfRxiAKptkj/XNlr3SzBHCKCSHYDPXSWiUvFMLePH
iD/Z2qjqdux1Ni+Mk6wY+forNcZWi6F/G51BEuurssMuaIK5LfmKG9JiDgBoqdErjBcBieX5IWrI
xQPeygb5KvB4dzQkZTfixaYafQCBxJl637U2qBeWv3Sx+7hv8By3AvN2W29PxYAIE+USQRGFQL9V
oF3coY4cgTGaDHRsvKU0RhUgx5jdUz+e9sv2cAOaefvgSKGX2kcE9XzYke+QSajQVx0X42SPt0yX
kPkhsOnvOULZWPu/bk3AVrRo19x7GWdwL5DsMDcEOSaSqkCuLrMJIjRkO9zC2j3EG5YS1n3ppcuv
UKPMsf0Ta7A7kXqKuVZ75YcSyiZ9hK72PfKiP74ktnL1rMvBYgOL7bpu5dtWFoeUBIVk4btakDBX
G6OunqHfThQPD6IfigzBsx2D9LBA1lAxh0OvvYYIgZN7lfD3oEWim/n6bJM4gihafs/Hhc3Q5kzg
8Ty0KzpvUPbX/bZQr4nlP3Ro2MGTczEJxSqox8Kyy7JHmiV32LPYPY1iB0G6HzZk452zbC9T1Al6
8N98/OjS0/ZRzCP09S1Re0tWr0h9me04n4PzOHUHAtv+S96gvJOLq9a0xkLgnd4H2jT7DhdSGVCJ
1dAifFEI6ELQnryhOapzp8qhx+bsw45eyIDTd5qP0GGIuRhzbzqltQaz2ycpMKxgOESZ8ArWoo1s
IbuOombEml+aArn6XgpU7XXvbQWyONIQPckao5uZNA5lCFRXQw8VR14DVk/Vg5YgJ2Vq7m2XXHmz
/goaudPYPJe47fguT2O07+R+uli/r08ioBoikzrcXBZBsWhuilkGH3OSLMeeyCsq8ezSppDOzGu+
g7QcAbyx/3rtTVVD+7iae/GIsB+dbIPV9LVCrVeOTYgbPeGFIJr5qu6OaczC89TU68Xg7BElk198
SbL3vInvQdselWTyzTpzFzaJO8W+DzEXeL8ut03Fxu4Shz7sRoEtWs2asrXiK14DcoRmQhWSxg91
gvaUBxa2JPkOgdZfFOBJgbJbQbZCrk2yoQ3zSCr1S0PQUwBZLBsKQkIZ75xlcHS0rYJwDxp8oZdT
rGgAZRsAR7PuVYOamUHpXrSWvajcRMWtJoz0PYILxy55FMW3t1L5OOr6FKpM+kVLiEEpBE29HkZk
MbQZ0GUgFALzjIo5Di/IUSvqRH0XTdmvYMllZTccI3XbcgEaQIy7QKQ1gdHFdob0d6fSKMVKdeuT
zGRQ+BZgmEBYnmeohwCilcbzUA91QQHgYNMnDacw60VVuzytFs9cYq5dGUTvTAuQ8rP68LL1yngY
7gbDLvWEmAQ9FS52O1FRY5tMdQ0Jx6Bo0XbtT5pE2N6pfszkMKKkoXXR5Ouz7hkglGF8i8cEUrKt
4ZzB43pmnE7EX/YTFAX4NCSGns53cZQUufSjk5f27Y5iTMiSAPS9HbNOZnkMFrU94alyMTusHsr8
fs26AjIshv7dQ5+cl3YY3VGa6VmHiMDh+CfM7yVJ3R1N7ClKwcnPKk8L7hJXTh3gFERpUcQmsehU
aVwtrSrSCb1Udko8yBlF12clTWdX8nFwVR3RP4A5FGw4Dgdd6h5NyvIvFvnDDU+K8/d+ccP+BhHA
qtMUpPPpjqzY5CaNzn2A/gP+QrHrRbOPfe1X8LfsBESC990yvhiib3AnoIMhuoMt5awCn742ba3Q
K3YvNoJLRFmLJkVCFzJU4QgIT/T1YYFc7KDNfJDcUyUEFo+yT+gxm0a90326p2L+A+8JrBaeefKt
nPaARV4bSH2UDxgVxkn0AOGPQwlwNvxlmRZ5mKMmv8tQQbXeBL1qVsUW2XlE5YpjEl3KsbvnY3yE
jgxUnBpRg6yUVcpfjrOVaF3d+pKnOa9ajqCoJDZi9pANqXxVlCv0P27FhzQeRzhnWGrqnDhgj8FA
gBrNu8Fv/95yiVuxiX1tijFyfxeHxGLq2C+TlJ8JevNuZVDSaA2wjHzfsArVxmUPT93Jcwh2A5Ac
vSUg1N2fee3uFpN0JZ4i9ptpf0w/qGqa+QRuUPwZr5Mh/7DCfm4fgMAmK1Wa/xnXDrEVzbXq5rrs
BDYCwWooVi3vEz2HZTD4Oz0OfzvpH5MAscD5y6+R2k3U+HELQwCXSYWe/r2L0VSuFjBWI6t9JAIH
hQa+cXs/F19BPMeHhCAHibg7AHXWez66h9HKqxcjco0o6cphWX9WP7/OdQLdFQTRtz85bsxex79a
A0FSji4LBZ9sC9OHz1HtQ+FloUfipD9zf6vLU8TKFRK/WfhH1HDPC8uic+Rwek2jLwt6RwEkabUd
u4Ymb4qao0eXgfryPSzdMMzoQfn5MRdIo0nudv5kXKFTG7waAfyic8kJuqZrNwb46mouTvYeUDU0
OL1cfuUM93TlA3Jt3ib/wYtUCiInhias9r0nnULaw2j0S9IoPofGpWUOIKccYhTUuckP+eT+cuPG
wgJh2zHjf8cNDFpdfGfirL5Tmwyy6dpgP2RAXbnTkPHFQHHTjo7vXlwfYybj+9sLQtujjpp4u/wi
UTDiRTmqF5txPKsWNQXcSWj/FVAaLrK0WIUD1p6raltDSbac/KA5huCiKWmRmLeYiaPf9SQ5WwZA
LWFliJ4K9Q3wDu69k45BvUmHueR1ZHa5XkFAkV9h7KNHi4na2YlfBInVbujnex8SMuuQp/rZW/ac
BXSf6S2eZlN16ztGP/295LErZRCUN9zJoNyNV/EndSyCTHTvR+P4INr2K4BD9h5l1j7o/+bj4n+2
EFGSZoHEmeRV26XZHanDH9zzygQWzQ0YYhwX3PsEmZQPc++lDQFsLSH022t+6tdmPcJE/JIPYwfw
R3u7aYyKfNSwsKkN82nrI1QJdbEg0OSTX0S5zgp/bS/rkrzZGtro8INIvEc9d4wa+k0CD6LycDoS
6UFdx+a4kD0g85Z+h6q9TCp9IxD8xlBv8ZTzQq7NblnnQ9YOoCpa9WV6zYvE598rd3/Zr8ShzEVf
/QRdBBrovgJtV6X1DHvYcKWs+0L5ebELyLcB5jQdV0mQqsJVCZvQWbdiH0L87NC/tgTaZtYKjjYd
Yn2K88BeDJLmiaHZgWm7BUME9HBNXNWH/AsKTpQHsvnmff/VI13nzVdjh6uXiZPLxafO9l2HC4BI
/5SEySMLprtYtK9i6QFKM4WKX17CDE8BuOyTc+dR1bbQtH5Cyj6Ssf9Kuv4aCHFZEvWV1BZiLw9X
P1zBsL55ej7WvHsKkI8KuDkt4DBqikxtSS5BeBnTp0D1UyGjT7gHy0ZSWACTN1frK3NyT3n+prVn
sXzDyiTzeekh/YB7MkBR7p22rnhkyMO+kxfXtxdoNb+381pXfB9Xuc7i0rrXMfKe1SZyIuSNc1wL
HShQGRC8c/Y06uyta+RlWb23JMBVo7SAqcA/1GFfrWqsYJZVsJb/RtR7yNJ5F8BxUfisycqmpt/p
3AdF26TvVKQnCx2x03jUU/3QASUdIBQfM/IOFRT82Vn2NATkjc0J0iHJdWWAPC158kaJAVQXA0uI
o+5uUkk5aFjNssR7mzNxESn7jjezjlvrJz9iQ2nb/m0zfprrSJrvdAtvKZeXNUsuwNuI668jzgSW
j31fu0/KH1TkChNkTyEZvoyRMHLVCvqa/MmDLmzsY6hQ4Lfw/PgQiPaO2ewpIfpjhjthbLtvBatB
kcaTLZoW4XMUlzkfoPaT5Mnk8guukH/xDM8GPCgTzCRFkhd2wbKR/EsZCZMRvtGyBf5U9fv2xnbj
xiTar6O7357TlIkvarFjFgHwN4eWKgMcNPNvkkB6lfdjMY64GGgmOQiw98VEl6VOnlDn/QuY9w+N
YaFlesomHCxz8Vsz8a/QQfIZL480xuPa3pS5elti2IGghWxWLDYYjAuoef9FkHfa1LsPtA4KDzUf
tvN4BPd9NUv2D0oSbN3tMnz8bJkzcVvecd+dlMwgiE3fmnYKEGlQ8ncZTkUE4HpwdWDbxkJF+KZY
pAa7T/c9mj6EdP0v8L61GSDpZShAV+Cc+mnbbd6gvuoBUqt5FJAJAS6bFkii1RjwkjF9SeL1X3N0
8adJYABfO2yNxCb3KsqP21fBDg2lMcnT1tvKxfzp2vGh56/Z0mXF7KVYl7CyqA/SYhNH24vKEpzw
6O/rgP7bnvso8UCNq7SMP70ekTEHvimIyvBd+QkJPRBglWNDRCguG2aA/aC2XgnaUcWWD+L7eAz5
60yWDhCG+BMkkDH3rkWZ4a48QhzNu69gieFK99hd06svJ+VjOia46/n4gL7xd3xTR2gnCpepY97I
r6jtHjPW+yUnShcgTE4uGsuapQTVIIwuzfiIh+cqFSLB+RPF1AZoYZVyfqHRdxtlHjBR7S90ffsa
2O5JTPkbBH0r+DDAKEiRlwHlJGCzpwCN5w6GmLSIW17xEfjHohyo0fwlRHrZ15LKXdO/+lj81aCA
/DVGPlL/FK4NimYwAmVC2ruWNH8AHfyqOVUPk4TQfZwPZJ40ILutuJHBUK78PW4Je8UZHqeJ50eM
5KDod2fwR33eQTsC6SD1+gJcpw+YaZlKPT4SIcdSNCGEh0H3bmNzaBO+HADmUoC2Hy0NTDG1QMkk
XLdk1A1o6eWQddGxM9mrk/6T8uilqTHkQySmGMYAfKEipBQYdodA9t06DM/g5pJOa1fwOsuKqNO7
YEl+DxzYJ+/xoiwp9ebyXZb+pfZtBS00aHgRPPh5eOfz9ge1f44VJ15R6p7GLjVYQ91PIukVm6aC
xAB4nUeONgVQ5anhlRjxGNKj1h0Gc0Ahaqz3evtR4M56hwJa9eoC20dBJ5y1CvkPl3lWxFM2Q8qI
XjCb08vQgtry1nDXj/xnCrx/kFZglIVJiokS6EXWta3QGJyNAEK4Mnz/9iJEdKK6eagVu0PzieCV
d3fE4cpn0ryG89XCvFTUHvvpkg3sxxbGyACYugOsjklaH4eQd3xGf9bnAvLPfC1vG4JN8E6rMX5o
VvITDPVuHoO20uLElxjrxOakzIAFCQSHrJY7OTQ/lqJgiUNyuCmKUDXAJ9V/YRIHLmH1AZnNfpGB
5ehC9/Ef0dG20Xxz7tf81XftV9Ymr0lXx7BoxNXtGULSA9kDsLbBjfcRxSlpn5giiejPf9aRy15r
Ku4YUHZNzMkPQ1NgdMAL/MtMta5c6ajvPUzG2HaizF4zxX8iwbFPtk8ufvBp4vVx00SBGYfdA6eo
l7/9VvZ10frayyYAE6kel8GrLGXnjso7HcmveEiPesI4Ex62EMWzR9fxN9+bptIwbwQKeehhm9wP
XctKeBTea8TCEqn71MuWVZjZsa3QecBjTDLFgLLRg0UiWbBXbYsAo4bHejvlFKtv7cFnOANg3Uvr
vyNHSQxck8FU03/eQsgSH2XTPaKqeh1WNiGsQmsDB+p/nuTtouoZy+D2r+1TJO7AgaNKCwnQhpF/
jXULUQcesJ35F3hQ7GDS/nQ5IswEnG5ZYYXncwtnaA2WoPuDoV97BycfsDXsWdHERdctmC2RIhS2
ySJR96FFWmlESkQ8BCT2BR31u4hhMmzrPC/y5Xg7Jb8WjzMcsoUWFiLWtonKXkSH1kbHOJw+eerT
81pPh9af3V2ctPNdrRMOyEogctt5RfhuGKbsbFal2dn8Eqzh2c/i5JBI/5xkjYBFUt+ZcQuusjV7
+Bc9BBkzHRGy99a04V7kqMV79HWhXq7ctGiGkwUWsFnQcjEO3iGYBRDXWugLOMBHo07GZW+YgIrW
H+dI8j+RxsbKIxqVZt6n1nfgOKasHC9zoq+9QKk2CF+9NNYcbW/MYZqXoRTCop9EOQzaHTIIERbj
MK0wf2V7O4Miq+HV3XmAliZJ1kMe6v3QNO8pa/sqS9YeGjKFDeXnv3zQ6AwTeo+0s+9CSsAAiV/V
M640JRel4h9WG3M1le/DEDGjfwNp6EwBQu3Ft+HByXAp+KzXou8bcIntfOpIi04kIH9gTIQv2YDN
yNoVMBEsmiVhT7hGe86I/6wDrY4y0Egi3mOctife5icWO1R8PR5MZLO/9fQR8QaeGTAWReOloPw+
MzIgFWTot0XyMDsgEjRYji2m1kCtPj2uDjCmry8djz8X0fzz7Va82m8ygtTrQA7nSfuZAwobSV3Z
xZRDAMh/CPph1y0otrxRVmLyXDmyxpWN6OcDxvotd5rY51RY/kxmd44wwWnfzAtETqE4yKhP7sk8
mJOy8dscw1MSsORJ8hZZ21HsOcYhSOczK6HhhkKZc/0QGqQArT+SZYkvG3M9p7ksp8h+AkPEnKAd
aorHFj1oiKl0ZQt39fn2MvYrOYPX/tPM6bTr+9Wco1QhGuaYeAL+ibaVC9oRc4DwAlzw//wr9VLz
X+/N01wGnmSVvY2bkdskloxPzTGIor1j4LSEQyFg4WVYauMwlaZ159u/MGXJQRQBXrsJoHQbUTme
Qe0PZyrggQWX1ajjEi1fmvPlrmvQsndKX3AepJqMB+6QtOsHbd8NHOGlD17mAoSXvDRd9CT8dgXE
QWW11Ll/IXGyvmRD/CyXkDyCvP2MsUVobIdLOOT7JJnmp6hv56eBg1Iw2nu4/e/2frgG8Zm26u/i
zcuhHzrAmqlYnuhCry0J13PwNPptdL29pPeiDh8pAUUiRKjA7I/DFQCzhSsdAUn2fQikM/JAoyZo
o2rMDLpqVtsdQJihzLb/OuWn+2jBeBHRDnckp/NhAJkzerOrSJ2ERZbN8Z6hptnpTvQXOLcLLjHv
A5rc+SjDPAOj5aNbjMK5XCBeLQE8y4KTCPC7E89x/plBWfwmveWbTvDNxbrsqHe0XsMfQHHV+y5P
P2oJeZcmxL5lTbflbnCsULCBB4nXi7c5UWsP0XExgNuYy9BZyLBIkwXQPMbGTOGdAFYPgK2BhiZr
P4JgBo2dixPJ/fwcTZgVwQSlexGpK8AM9ryEERZ3R3/p1LxA8xW5lVSRPWvmgTnz2JM2HWBjjrW2
jLwAafCjFrTtkKV5YgRnRFyVNyMUcj6DO7iJCSxawbSDuAQTiMxwoWHagiILPvDu49wClPDG8YV4
3l2XdnuiKTizAMbzm8fBhX7ZdOpNCgWLYjTeeV2dHX04MKFUY4cw/gyViPbzwF/7ScoyFNzdWwEj
csaiBpt+OaR2aC8immTptLN7nri3ueuTQ4O5M/uBTV++US8QbojdmtDpAExyumciAKppDJQjnbdj
Wn8KMirgPvatqRd2yR1kF5n3Yof6tHgse6DY9jv0NumuS1uGSULfraXtTrC131mV0FeTYegPsr/y
p/wBMzK7Mkf/otG2xAk7c5qvjwpsRMKnv15o2S5A9XNq0NYESfoiwj9z2sN4l0HHJmb7+ZTSLvuX
6xTwl2xKEu7R1jWwHwXgqujMMdBizZ+SXiTnMVy+h0UiibrthrBseFjSe4+hMqE9QJvloclZuHfw
Xp7ha5urmAZD4TaLlOiNO0gd4sEO5dgm8/AA2ToWONsGDemlN2epYxW/IE6fhEqgGrr9+fYXsHMs
3GnD8fnbG//5gf/62+1XQuGfgeEuhyT9aeFvPk1wvnsoTIGOyeCMvUqLZR3DKtB+cuzBNegARamu
m3NAeQIR3q7lqn+mdXLtJgJj+Wizsye1KeecpW9ejioYAK6MZbtzI+z2XgtY2TW4A20OdjNJ/zbc
ncZaDud5UWuVrEoe0tq+rAwDMnyVeQUgYLgVtbvAWwlpqH2kCUX/k4z9YQwYUILIPtlVRGUS6viU
9eOONifatAMMfKhWljZGem4Q/4FHid3SiqukPn1WHUandfrqLfEJ4Ml41DGBzDUe6qqu6asV0ByE
KZjSKXiz3au/RA74fzNcrXLfcdQsh2nt+bH3kY7WILyyNaswSAmjYUClIXG2pvS85YoCSx/0YN5Y
PXSHsf6p0ae+wpX7W27xMEYZtGBI1o4m2Itat9fERFAKSaDDeZLsptr/rCEgKTNh151N6/VMTPYV
rLKDfBtJNeLTsgfDuRaiTxsgai3W1fCrjZOmWlLzDTWfBaizvhLd7lv50Ssa/8a4jntIc6GWAJsq
lvcGxq0C0kRWxIt6tqG2+5Slz9HcvSvZH+Cl/Wzn4K2247fsGCtt89tny08GKUERRLkFAYsuHo/M
v2RB9JATdjK9PfiJXX/37BOmLEhIQiiDJzwLNXqwy8sAqsUenBEnoPo2YdTUaCABCsPSJlDLwu+g
lul7UUrg8QH0lZUXnlN+EG0NoonUP0a5qCBA1jHWhPuP04b7YOUyOIchxql65LDSX7xKTr0q8zVN
UQDVX/7ookqTBfCJWL863JgAUlrwCY+qj3IQCJo+1nMM3SS7qjyp2KC7j9TMJwI1JWrnpTvE6/oG
3JM9QLMyHXjtIUWN+bHhTX7Ipua3l4pP5UfNSda1em6G9u9cp3ORBUOH4Vje5U+KAFGmbQq3qUIr
DzmALtZ86gC7IsAf88m0pxbDQlzGQejmDKNTbAa1uZLuSP0IW2LOyz4Cxc48CLbgq2N7RnOMEZBQ
T/thHAG4iOfr7V81GyPMjlmP3opsVYfQwySgK/iYlB0A7ZNHyOs4G4pBhuk11xCh6Dy9TB3YrByd
V1qrHIjD+DqNywjWF0s13QYCCMCHSxPcscFz956T9Y7J7lvW4NtDf87u+rl+6oZsQtb5CjeBwzBn
867z4gdAWv+ShYCEybq3YYbaJDLoDru4kvZBOoj1CeQPmNMFxxgPHk14YLOF0JExifCBvriXvrlu
Z8sDSAcyLoEf6BoBd/1lh1XsrQoebsxVMEAR1nT8QWC77twSnPslbiAoHMGXMhw4j+0F0S7cd/o3
OhZIzDdZFtUtEEqnDjdC4qb+dbm69OvpdkAR4DPDpslEjMsPQWxfAElzCLFRi1gUItAIplFQRIiM
gGnwYSKyBLJ/v+xHpKepbf9KsGT1SO8wgagrIwJOD1JH/SkBgSQEI0YW+DLDhFzdjeEzy3XwsMDW
NNpNHdSzN4kNdxDkZU3w6Wx8P6jsfSP7MkpmSJU2+R3tjuEIZfYEBWN1+wYMsnuMQ4DY/yWDEK3K
Qzwf5VWOwzXIAmg/PA6GfuzCXz6DF/9//T/tOvH/xfoRIhqkKZRTcRQn/2NYbB9lnYepqfwIb0qB
iQ4Ug3kkEgFj6K8OPId4J4JavYyg149AO92sGI0maKAxYigDSXvjyqJm/ith/SmbeGNQxd9xXeU+
38RiAdEnP4FQoKORPAKX3nOByOj66GO7Of+5E0MNcfDKD1H4KjYJ/u3Bszk/h0nblCGj4qCtOC8R
6FQCtVEzh+wq8yiEDyOsbObgDXYEA5g6k1fTGt7xaPr/ua22afP/bR7abDIR+hFM+PUxYzv4n94x
+Lq5GbFajpOnm3NofVrQ/ikGAgNjvoCVEkxy33c/K/PLLhITwOD4Xw2H/nNjzGVVPuZIMZw2RJ4H
zC/7CUKZ30G3gxwFZnnPff8ZbugF5keeoiJNfuZw1HvIua4sSKJSWDyMkAV38MwM5eTZD9hk76ep
DquJQS3kLxTiKz+Y4e+C7iudIiAa0rsGNf9YKewUgLK376H2lqE8T9NqDukEKd2YURAL2XwXjP1T
MwdeySOH7lMkH3XY3a+ej7GMVehEUiUj6MRURB9UgrqEiOQoZ4EdNdpTMsi/npKk9BoQnVro/OBS
KPBYmiKrDF2wb2hw2e4PZlP+TH0TlhvU5zKw3aA5T3MPMWo4xqrqEtyEZlH/m7nzWJIb2c7wE0EB
IGG35W1XW7LJDWLI4cB7j6fXh6y+rGbPjEZXilBok5EOKIcCMs/5zTbnprACmrYgn2zs7Y7zsptu
lwWPSG57PRBPVY/vp9B76mJyhO1k6Ret8V4dhfWoVbhin7TREz/UJvOIlpYa0lzGDN9G1OaxZI++
mS9BPbcAlsVE1dUSsYz5Mi+n4A+/Ovto+25R3gLtF9afuemqI4kcOUMldEIwYyIT4JIEsIrkbHoA
HvSBjLPRnsYW0NR8GiOKL3zNwT/8c7W/vBrhUlqsdzXdVj8wGVPVYCHGT7e74kFiB02DOZJELrpw
5wRsgdYu2GEwbijuwvdv78ZqZIMBtL5jEeUTGIY34l8JtFeHnL8gAOrzHeMdxW7+l8Ams6A6qtA2
/0QmsyoROT5SH7sxTuBAlqFBABS2SD6DfBSSu4vM64+xAfI+IEIxw5rYIM7fJiEg5YE93SoB5AGy
iRy7R3puyoOWXVW6y33bAv6YFv/EWZxZdh/eMsYsOjRKCxLcn1iBSuSUbZ40gBH8Aa0oUA5eYOy9
xPtRENTbBT4byNyIAQaVyrHUvQdjBjX2M8hV3o7/z9jH/y+JxbYFn/Anh/TPxOJZH32mCP/0Hgh/
1L/otAOd4gw/5db59d4YxZqwsGRxTd0l2uSyFYBe+cYotp3/sHmga7bKNai7JB1+MopNd5Zbt4Sj
mVCXSbbr/xaj+NeLx7AcYejOrLYO6wwi1UcKZxmX7MQV330NQqGfAyIS2qwX009Iwun9tNCrTLyM
ibskm0wKvBxYPoo6+DakzYqFvPEa+KW5iUA+7Phbxi8kPB/CIim2Y2KGcKRcF1ZKt3XHtv+H617X
f6XDGjbMYRUylWk5qqUamvWBQNzmoFbN2G8+NQj9kpMukpXfs0jfNjBzVTe9K+rOsFcWWgWrwGnR
RJn18sYQ9BPCQN+QfCLo1XfsqiZ9+txqU7VO2zYi21VMn8kM/4jSoLzoosk+FcNn2Vv2YwJiGOF1
ecxoAHZErXNpla29CX2leNLGGZ/RpvnvCtiRqPXrrxn5i1WmQ3SwbAhdROPjtVp11uuUKvsG2NLv
vvckEDAjZR38iCw0grKRjLU3pOABzOkPJRcPQoTtxc4J+kJDSM/FK3rE9Tmr7WFYyCrEg/pMvr0+
10r2Ra8nf3fr14eLqjjOvkoM/+KG6Cw3bVF9Nys0tTOyDl1ZLk2rcGA8BuqhyjtwHQOxZy2e7hsD
CUWyKoBnpiA/Zbkg45LMVatTvvhTHwGxM7KT6Zg5NKXEfGrs3ojPZa/CkjLH6uQ0CAFrJKFHpWTZ
WnH/5iW8I/rm3ixg5h1lUxZs3llDzKH/DwOa5vXbvoLs1mqec+kFzI5K7f0vk4r4Uk5gACboZL56
IPsCZxMP4YNvFBZ4UbUzWNlRlYXaIccka73n1sDH3O8Tcu3geVt3AJtB2nhKUVWcuxCHGe8QuMq3
agZRKnV5IG0DAxEoQ+nMDfFq6NewjBFwaxzUEMeV2tjWi4Za8yMLcpD8tAo3bwk0s46Urbww7gFC
nmSrnaLoPmWD2xC23iCuou1LAGTr0u4RQfL04BRDLlyAcYu3ah46dzZ79TtZm9w02zVqxfJfCPvd
wHVeWmwSYkkneYCcIfsbCwVBvW77leHq7HblSJpd2tKAHIny0w4Zo+ZTopsIFtpTeZTNQot+iC6q
72SrrF9D4zzOzHxFGMUmcyO2N6Pek7kxiY5lK7tmoWyPw++dWgynMPDfCkXt8z2/x66LDO9wK4hY
Ktemye9EBMDsq4MfDnm8KW2zvyMemN9HKrAZ1xcvP1sRae8gtVhZW/qg723+DbC9YCe0s6za5MZv
hYgqIC0VLgVyIDCD9bt7/l8tG35dznArgj8L9VxThQpxCFEDntHvtAy6tBgSt1TzT3U+GEeAI9nR
s5EZJXozPsdenzw4cbxJCKNChtd3BjncQ1dV1jrI3O+yJYsQAtdabycb2g30xkXQI9cwdLqx0AfN
uDhD+eiaJNAEGI9iYYEsOPYmGL7/+tOIDw+F+dPMmyqHZ5MQM63+109TumGXgmAuPol6mjb9MKWf
4Ey9FujCnVFcce7GSBUrJNXUx7EHDhgrQ3vn9kTfNSM1nrM+HjeBZ5drFyHLTdP4BnSWoblz4WkS
r2gRNksJbzewEIYW0cRGhxuRCsU8qmi6Pft9MAfG3HFbZS1Nc9C3dgjeSY7i3qD+w89HwP6XNdT8
+9lICKi6hfyD0P60kdT8MlT1xnVfUve+n0NitjWQAcmCjWxVKulGEZKTkM1bn6zdBqImn7Eh8wmg
NKBZGaozmNoHaTEXQjgRW+MoWKd2+dYnB5CdH6FcwXNDutw3F1anZZcOQclt31cjYFRm8+UPJy6s
YOW5RWMtinLS+PtqRwJELkh0irjZFmkIODSuLORdva91UQQn2YrjYDiOafNDttpQWI8tIQFSntZD
jGTEqvBq5SyLNhZvNZahQHla8TKZPSvZXoxA31ELvRURYqzcoXC5EM7OhtQgt37x1laAPCezTqhI
JmirYjoZWh9c1HhQ7lyyzloDd3+YIdNu82RhyLa3CWsuzMgFUEWXLBBjBeE41fcASn7jhbNtm/tB
vkCalfJa11gBkLOdO2RVR+YCRGa5q21bIeRt1atAR1M1nvz6YgR6fZG1gnRgZnDXacqqvkAbG0y+
Uesc66VykDOqeUCO+oNx7R9Ujw9jj3q7VCCPrcIhCo8KOpjXwhuH4HjrS82xgFDVJ9suC3+EU1ue
oHubTxCq4Xj1oc73YtuPdni0TTOGljU+6pEmjhm2IRDebRS8xjrW9nI0btv4QemI1NnBYG7Rw0se
ZJ9tAypSgFpu4Kf6D+beL+zgIuYvu7BhXEPbPMnWrd/1FJVv2gy2HwZqv/bWOkhk4Dlf7Jitu+K0
pvGdh8NeU7sU9WrUxxeOMQQnby6iOg9OVW7q6z4o/2mPaLl/+lOysIOQCHcFDNSfbqpNnovCMYTz
oo/dH1JLS+pGSV0n2ZS1Mm1/FGETLXnaNS9qQwp/Ig1APJhm4ds1aUe1uDaHuApWLdiQ7aBp4yl0
tS9tZ00vYhz3mu2PXxVn4M/pkVOzh1Qvv9Wqr0JcjCsUycamWGRodS6gQ4dr2VnZTcVmkGFZgHFt
CZNp/T0pV2JqYKCOkeOooLX06jdRtlzN5ppchNiXuhVBCgg6/1zVxOkzOhdJ5k81zFIr2hdFg/aB
HsCIslDvLNBOhCqen428Wg4TCr6aOqv8Vgj8KkqSGgv5U5qTHa29fJjJoBGK3C5qquFEMWTRtaZV
jvsPjwvN+FXJZ757ujPhR1cJWRm6+LiJ0PxRIwxnaC+gvlmOkBnZDwCrVr7dha+AC4dlpbCUcHpP
PxYtWcZ2xnJ4eUVmSlZhn5Hn1lAJOgZth0JrVhRLezTUiuQrnc0MAJFF4k5/QG1FVCEgu+jbWbRu
vax7QqHEux94Ahmie52yIobEBHUMTb/4ooriQRsHwZ/BqIlmsNbV0i7/XsNoh4PiflUIgJY2os9k
cbJ7b9TT+wYCNlqZRbw0g8E4AHUCeFwAvII5sAtJtp7kXBS/7QWhigiqHILiqYlBSeYSd55bsqjk
D31rB2pvHGCOrhStzFDuTlLnpF6QAW/vZIEq4LQv8+gRTttb122QiI61zoGOagjGKxNfDuLx4Ri8
FVL0GaFlm3dOCEmuXt8tZEPvUFf2pYi1Rr8Q1cVZSyW+khfmnvhKfkznAuZKfpTNceR+Hdn2zraK
8Vh68DyHMQZKItq1QyT/0argICBt4B7CzK0+NWVHdKlTxFk2Y82AUTe693VfNU+5NZKnFPVRaQz1
sS7H7IxiCBmSWHscIRACZZla/eIYrbZuxjS4jwBOWAhyV3ND9lRhKDZj16dL1eZxVAo/5VlYkCW2
1IFnh6pr/Ix606/J+2TmSVGTb7bSQpk2Cd2JnvWTqaBO7U7mcA9V6azlFTsPOxoO/7B+Yn//LiLD
/8Fi365rlgYUyTUcc15fvVsNehVsTaWc9JcqGDXsQ2atBuRKDrFw/KcxreOTmw6/yZYs/Jr/eaqL
z9OkdCQC/iXNP1mRQTInH5vjtXobukn3u+WUHQHWdGjqfK+j+jkthPLidZ65cdkOL1Rg7ptWH2EC
+m6qna7VUWP/BtL/2gptQGn/8CX8aREp7eQQUyPI55iWmL+kd18Ce+eUZ8egQg7QJz4/uR6TsLK9
HDoMX7QewxfF1dzhno3osM8ScnBBpqF27ejRMUZRfttwAV+Mpg7WQtTRc6pvNO/eHtXXXMnjJ9Xp
oyerQ+BkGtoGVBjN1hHdERhosJBNWSihHwIod8CNuk70pERqx9K7WfzXHxcrvHlVfIvD8avbOnc/
wjaW7mD26n74wEbNUjwbDe9ZIdSHynuAvdkQI7opq7IwUTw4yFoRTNy/9bx8a8tOdW7++30Fad0d
JMdVnbVGv8ixlUHts9ya3ALPGlpu5+vArd0KNmlAF+ylHiXpWQ7IWinPIKuGYoAh6lQwjfNZZZ8s
5BljotU7kl33t/5389TQAhwldHXRWw0ZTzJB2NN0ByXyyv2Y68ZJFv3P2q0Pa94Xxe+h7f06mCiK
cQrG+u1QF0WqQ9EV5P9+6ZdNeShyQ18HYRW7IeNssYCQGcw4OfAeb4U7o4JqpHjXro4+gRyQfbIm
J7eO6SGIDGC1QHz31CMA5LqpeTb10TiXaNudPZHoBwfBmnxuyS5ZyBlybq6BvAy4Oa1uo7fJAB7t
VWiTkWUZYLKBQtWIvV7cLHQrLE6gkKdkJauemqNVbOaPJDy6UyIVRTpT3Oe9BmQQOtJLoxoIA2WV
vtU6I1qLqHbQVU/5+0UZct08Cj5HlWpsFAfbqJ2jV9Om0lvQ0MMMnSBTsvOgNTxiNteTSlW9c6W1
oJSTxj7CBraPxlzI2oe+zHcgqSniy4d+OTfpgIPoGay+9sCCRgWnZe8NAVhOnwtZk8VAqvEQTGDn
/v2+Gpbbzk+0Y4cW/RFWAVvOFtQ/+RuQuWkkjq2vo90eRneGwk8RV/2wcXIjfxwsX6AfFe9GtRR7
Ax2m1A7iU6Zhx2OXprMeAmDpOtz4Y5uwE0cboMYJhL7bAESMYInqiM/qGQQWuFGSRpMaq1vZNv2y
W3vGN7MaYBtjBzaAoapIIclqMHqkoNX5fhEnPFHW0OiHgx/0w+x8t4+dLF8HJHw/ZS60PpEYj4Y3
js9mG4CaUJ1PvF1xZ+nNDzkpjE1nr6BwuGwD04ByYY/72DcQ8uA+vCrDSLyUKKWvdVhrgvDTvWfy
ySCJPlRuCo1P9oHoC9nTKd6m8rQHRHSf6zBNH4dO9JdZH0W2BCuIR1Lc0I+VgLWsA/y1GgrMDkf3
1E6Z2iEi5jknaEfuaZwL2VRsF9QJ4rayX3ahXQ5WHnHte7/ovHs970gF1iFw28RSX7rR1PaxOw3L
UjbxcNwXCPoth9Ic0OlojYVW8AwsZ4+PMkDHfCmrPfJk+64engpcThZu2debBOexE/LyKiA5u98S
4iRF52ojy3sWzW1WoYZsrQZUbs8mrLtTCbGzzoh7EIlAfB3F8YI0I/4Hc0sWUqedFBvrIr3wcjnq
2jEct9vwz1PJrshrsA7wzfJYOU6L/ZhhPfJgmUD5hMVdVIbtrkAD86CQnK420iqn6Ab/5AzWvlDM
CH6l7hlHJHN4b+pO6830d2Q2D1FliJ2vdPFRB4/WnGS1UPTCXspqoMASB6DLhN6L5qpRsWI20VbR
rXZthygTyb+MmfW4B7GMqtJu2niJHZyCKQ5PsqaM1JSG/8Di1pbDCOddzKBUtq4cvR1ybVeqeqr8
LDrIVSmEfxAIU4iWX2o123cr1czLlLNQtzIa69RgWGsh4HWCVj+aZWcjSu9M+rG2A3SY2RbocGkp
PKMDjWNP6koO3waux9zat+HrKWRb9eslktn+QZ4rF+zjW+7AIhTsVerC+xFDAyh17d4aSQCb8XB2
NF2FgchT4YgTEGQLoHo7dHfyVcY39KKWvnngMrLgOtF0w9E6d5n7tWvIm2hDlGxj1DfIEGWfDRJx
Z39ytkXZjkdFMz7HQhPbsGoA0Bp6ZZ16BP5OBSIH27AMvsuuEpnEEjSPeCinBknUKf2N2IIDwwPw
RZLq6q5WATfJYmpziOs/myJxmafNnbN+yUIZK4MIXqEesyEbyZULXz3K9uS7hrKU7X6AvsiNaCMH
ZKFnA5DZBOyTif8fsobFWB+DGAeChZ8W9bHJu5IsQpkZSBuAQZWd5jwpp1M/TV1+dobO2qvBNNyN
rUuKf7DCTafmw50srgPzKPtnAjhVd5L99hyolzXTCsM9K/7Pt6m3wy2cLZcWtDawL5zjNoDpSsW/
IrRs7iNW2yy6kk9mDSAKzMR/7Ua7+KLAKVz3PRByC1wIZjMWzy5hHWo9JZsgq7LTIKyToenD+OQq
1mxYWbrrzHEKeougN5aF4qAXYDvn2yRZk0VX+QDe3h8UR4OlIT+beru0Ll8CeHkLJXGLL1PWZVzc
mXUwIvePcDa/5YpEOGEuELt6q936ksRjf2TBj4Nm8n4UKSUgW3Of6llein4GbXmc7Lw1/7bvb1/z
w/u4vlKLmGqsOCMMsrI+yIIcS30ARv7W/N/0yVPJExRpCnTv1r6d/7/RV3c5RFRvdLctq4SVrJW1
kj93sM52HQqCS9Osiueqb9XLZCRHOSgLXfHh9Tb1vWwlWZDDoUBJ5Dqjn5ptpAyPzpiH91xoWL8N
5uwu0g4s2rsG1UGFVVWMaoxdstNzrbXsuXXLGqlMPAFFx1KDAIgOehDhmAt2I+tAjYLLdXhI+PeN
fYDnK3cU4odzVRZJhi8sko9GvYsnjI0WjYHa3PE6rftTXU4PLKM9XMdkW57I8vx+o3bN44cguGy2
tt69xb9lu8yFvx4yxAhl8y8D5R+PkbH2Xp5Izn8XU397DaLrsnYrrnPk9LfD5Zz5zci2UrAIvb4H
2a7dQl95BOo2KKcR+VVKpVkNCsv8fuy6YC3baC1zY5zDxnx3SDBNaOpJJyJZKEaFAOpsTCSLIcr8
bHFry9rNvOg2cDsO2lW0MXP19a+m/VXf7dDb6T7M+9C8vYv8p4/S/+CdytOMv/sjS9TbS8vax7PJ
N3B7sdsbuB33t+9xun2HH+egEkTcxvdXeSiU4GSowR95qU5rRSTcfsNWO+Gqe0khgp2VNG3WjTn6
B0hxyiF3nXJl6YHD3mT6VmtV96A103iHyRv4V6tzvkwVlGu77buzX43isdSyZ9nvpY27qos6ODTA
tj4HyF3J86Qp8IYICuz22tRR4BUi/QwIKD2AVrVYkyJjg7yWsfA8BbehqOhwxaXm5eNbTfZFaBvs
QmEeEH0igCX77HmyrDlI/RUArWlfq7LXUMPCW3p2dT1SDtc2VslDiZZKMYdJ4e8D5mNDOzfTyseK
UFbtLNTajaxWcUtOP4/OyqQShJV9sZrpLfnUyT1aOepSK70Ml1XsYqosm3Ikmofl9HdHynbkQBlp
x8ZYy+a7U8qqW8Sk+/oEC6YWfOxCnu0289Z894blcDNW6V6LMjaoP9/q9WRyOGct8fYBZLsn91/x
5IR0MD/YA2NjtPH0nCQp/NhMMX9PPOg+RRPcV1blrwrRIFtmoz3toKgETmY8ycIa5u0+bH7R4gv9
of/WvM3VRnNchPhorW+j8iSyCQkdLRdZ9dPBWHV9FS9vBzd2U74Ny2NYyy1cT3fWqo+qRDwMcKOc
xl5psEjvR0IZT2gnR1t9HjVScrReoYQT0Ll+suFjt7ic6G2hrfu5Ktu34t2IjjYUdjO/Tgpmr5xk
9sopG8ftjrJ9PUj2yjPJTlkr4hoXEll12wQVO6w0CcDarFVYXawRiAuQOdODfmPaaHDjl+o/kGfy
HxQzrfYobmYIunnM6YrSPIGVgGs2N9VGWPf2uR5ybZ9i8cbGNIk/qSYg4nJQe9aUJWBUL0tWsRZ0
Z2FF09mYkI5kwZld4SXFjDHhj4VWF8lYNNY889Rr4iuGmtlDCnQe2Zhs3XhNi/DuEG38OfqfmUgj
gMMtd+2MmFmIfrQh5fVPctSdcwOJBrE+TFg4ynm3ga4Ax6j1WAfOZ7L1VD/maG9YiDoci0KMRytk
iX+tyT7hlxjUId90G71N/vu++djbqeQ8A+DPchCpu7wdJmuBbgRbNFk/uzzvT7Lwxkk9eQ6xYNnE
wfV3M+78reyyALavYhQj1xNyqWE2mb9lJRonHVGnI/oR+gPEr/Q6MNVoQEde6D6Mub+JeGifC3Ij
FxJUE6lpQ9+OaVfg5B7bSCPkaOOhg67PIs2qbyBmoaUsznsHh7VSEeG94oXRfTQZyt7rCGQ1U+B9
KRt/pxJjXndmiuHl8NLnk/oZ7HFxDGrLRjV29L90DRTGKFWnpY7cmAFctwEbmowJfJWCC9y2g2sI
TcbRssDyD9i06bvMzoMVFnvjV99G5W0sHkMPMr80cisaPbhY8Idty6wfZZElUPc6y/1aKSjVOa0B
E6QJp7OPqDjIK78ekLlXuSq8ZADrwci1U4534/C5b7QSUJYcoOiLsBpWjd/t2KRPkLzrZQBdgJ3T
nM12s4WVdgTE5i51znLLWpyQ7lnIdq/r/5p87RWlOPIlghyqS39dAue5dLkG50vpRpLMugo9KSh2
vT7Vd3aXIjLBgvCxaeNhhv7on2fjBogzSfGdZ+Kub9Fv7NBDwSw2O8nCBwx5ND28qWf4l+xyg8Dc
o6689Yx4vJe5FbVJHyMezMdrvgUdynQdDem00rUKrr9uIEutdZDbRfGKWw86w1U1AhOhaQ7OD3Ma
zMvIM+LJqqO97Nbzod/mrg+be0gq6An3ceeOX/UcNrCJ6LSpR4+50X9PtTg9ypYLR2sTtHWwDVv0
Z7wymjYIXY1PsZUCqIjz5nfLfc5tG7e+eGYf82HOTdUJrBFzj9yj06z61hRnF2LPsa7bpSBAhyxV
vAnq2jlHcyi5LkR9J2uKaIujyIet7LpOBXE/XxsnYQDNGIGzm9nQnhF7a895ZhNh+tmUtQgy05wf
AMzADNn1YRrG5s9tSLgkRkul79XkRU9RqXOa8o9xbllcD/fodZzZgqQvCGuGT1HksAlgLLCy5MWL
nzr9U6c1sMcN41tpEuWLRaFeNJ6Op6awWO/CFPo2E9bmCRhqgmCv4d4EjXs0QPOcxBCP58lC6Sly
FW8lFCu6RDilZWTE9vOj4K4MNfM3EXEDRRvsEZUubuIuFEVZQw7zrVbwBFyMTlbx+GXKbSDRs24n
BlRYvSrfQShVHrtcCZ/6yt8J2y8+x2g1Hz3dVkh/0hS+MwL37PaOXq79nDANsKuMh3nXVDtR9/EB
HcL8zIWfn9U6rDa5gkhiHAY6nDpkhb+pZQJBEt2g56HDgyBXRus4Kmp7Gid0vqF+whZwL/LG5mIR
BKazsSEpdMk68jo4gq5dnCtSnOGUj2wUk/KsNgUqq348zEFFHTsAJ/TMhRxq5nF5yIemKFcEEd2T
HJOzzBzXYRSLOP2AM/dCbTrtpKDUf06V4Te9weEs0i5mNCc2sTDZktGbFupsrQ2otTrZnr/FSbnn
aqDgKQCnwCqqjTv2hXmwC69bVKRmYYoGwxmBFNhJoW29dWopTliGaXFpGONmhBn2zXLdfmnUWnqX
+KVyRgZIZTuUlt+CAUdvZ2pe3QK2X4Sam9PFn0O9E0c41qjE4L8rju/aaokuhZd5NpCNUdxj9Mk+
CLDCMsRoE+dTsmBHBBseCrVRMM+Y3Snx2knsJWCzDq/tnrABfDxjjXS5dUiKOD6I6mKYuX2QxVRl
DeiLn21Z039tqmDE5k/IMV5kMj3t3a1P0HLfIfydrGoCOKesz2aJS37kcm7KvnfDtq269UL2WkWI
W0uCXD+CCgsdX5wATT0eMSEroWUet+AI+rg/ecjqfI66L0g42S8xKw3FC/RzZeHGKotxYD0U4tS0
HUE+X/uwI0LAQbZn34a08fvjjIs+36bIphIp/SF2SGTMg2CVcFSvXZJmbqVsHdMctiW4u2OI1hh3
4qR+UDwLemdbjF+jCpEhAFbtogYdcEmcDm5t0T6KcnZvqPC6NfM8JThZe4DMUo0/iTXDzFAXVCzB
y2gOrF/WNp2DZT02GSroz+pLVtjDShHobxRGvSwDMb4qDcLiwIh8hKPN9CEJ8vtGOt3WYeyv7VpL
1hp6FKyZDNEuR7Xytwr/Bmc/+vmmVviHhzqU+gy1SaWDED+NLXENLTTE+l2Vu3B3iE0NQN27aufY
Hht8op8pt8qDLMjeI8RTzdFRlbjkUo+LWWceL/RWrbyvrm9/L6YxfQTHmp9ECAV2whP+awO8TRgi
++7r5Y8hLL0XbJy7NQlX8+RVJF/gdiKsUVhIPI29dcoLp2AJO7djPHscElXvuuQUWcgZkxH84ZL1
zqqo38UNgGoB9OdgjT3SDJ5rPsk+LftS90b3OGiD+TSp0c4vjO9DUanHesiKz2j+7NFr1B8BgxNS
rM/jjBXBrUWsW6Rglqgs5HeVMyLR3lrSjWdC64Go0D7BU5uMlYM+uueeXLwBFz2+jd8qpXvKvSh8
aWyv2YW1eFXgwp2wLnpE1Sk6CmPQ3AVLwnpT19MIty1q7q22be4VJUI5GkGBrDJZV0b93Vgg8GJk
Lfa2PkoH2KzUd9bswC1rvg78G5h1tr31yXmWYM9fsB1fYks+85vCQ83LqFj4DefE1VDwwQZ4WuPg
4WzMf02ppmlcGaEIVpMy+RpeQ6AwSJDvvHlJrMyrYci32kk2zZZFv+l4BMnvlM74XcF16S5r5i1r
lBvFOi4mdYn+qrhDNgTWYZxY+p1gHeuIFHA8D1d7ZQJ0wYkR0WR5tJyitzqzUd44lV2FN/J82LVP
JQi3RdXx7Zof0AEWXtAg2Ua28ngrLK+KjkjvuhZaBlTlSFC1m2EaHSRAlOYY8Wyb5dyoBlHRIkVH
7Vag/8Wy3M9RCfml/6/mfui7njlE8GHRQwzkZyv2Vt+JS1Fb4iJrk9FgyKQNHs8V+m4Dhivq5eio
WMXPRyDLoFgLPXDv1JTL5javj2z/bgpwAJUzrqfPunqH+BCcivnYwUZ2Y+xNla/XjFdNZg3bHrWF
A+zCZOW0GBskamttcS5QH/q5qFUH3cssiVFopJmZg/pgOuP8TwBK8LOraObtCEB82VVXfXmfTt/6
Jn3WuyY+FGLg7eIMdy2Msn4CsERC7tf+BMnoNQA3bflxoCeFE5HxrTEzgxY6p0cMdqNKYJ20Ocdz
a0KjrtnyNA/tPChnyELOkHNvTV2bdwlmU+OezuTbSew+2KmdMHfw2XokX3MMPwRGFJDZCENBnLGw
zrD09hjNxcf2xJojQ2K/L64Msb+l12ngYT6iZHDVg76k4dpsWFzyH0g7lVKgDpPZ/mdut9UqzAof
yn2A1A0Z40WqOXC3XTV9jjUlPNYkd9He85tlp4OFthD/uZ9SD3ZPiIkXip4bJVPAupTodNY9HiRN
2Oa7thgIANgpEL185JvJ8wgByPoUi9E/I+6Np1qKD1sAwbozw/BbHOk85NP4i9YP2LLM8kloxj2l
Qe9cyjzb7QvPS19ZH6o7hxQqKfEy+iI0pAEgvGc+GWUlCY27LMx7hERgfmP8EK8QZ9gIYSGuESjd
nT8XsqYPU360sY3XmqK/E52ojnXl7fJ+rB7EjFPLo+DceG71MPqGhcbViEQJ6CxltMfrjgQygzLy
L2RzgmgKPkN1cGyGtr44znfi/xt+cTIFURwskXzNTpWp2kcUyF6reU47sUjLqnLapZoON9kyqkVp
WMET29Buwc+VHDxXDx8LbwcQmO0xtCz0V0ETxUh3nKU90xim+zy24sMsktyvnP5roRjllzKf8i/q
+KSzEd8Q40MyYwrMZzuOnnASQhc1zM39lIbjvRe43bZySm+B46aFTR+usimmtAfHiMVSLvJhveCs
wn0Qdm5JEjYbUWbtZ9QF8LDRWoZmr29F5yMykCLeNiDScW7toCYuEhUbIHHGczhyuwsMXLoLZGH2
oxMiUlu3wSlLO//Ytr25smrhH/rBNJAn9u3z5OJmIJq2fDTwSVuGEzcFgqK6hV5AWJ9CVSsu3UbM
IHJ0ZGvS3dRM6KoXfXvruNauva4Xk2iw0vKLM/BvIhU+3Hk+jBbPaoY7dfzGbrM6gyd+1UKkAr1Q
fNOAW95bPhTfLlPPHdzyrcHmdF21an6nE2GuvccaRNUJS2DEEkZ0AdSSKEtjmMEqZKOwMQhaP8QJ
jkhXjGTuVayl/MpQwMpyYXmZ767HrqhWJJWrh0xD9g1jt3aL8Ie3V43pqwSByEJtPSAieTqBjg+d
7W2gn2XY4/Ktq4nLci9MIBbTlIBKcFoX9NhcuJP6VisbE0mWGhsBvfKtXSPa9FmgbLGDZxwviSCy
UZy/1bHzYqS9jeKLahnDfmJZsIXzZgDf7ZXnqA3Sgws6BPHVwn8xkog99TB8Z7PEi6MYw55U2GdY
QPZZ1kI0msapx57RtP3qpQTdXiXd+NW7wziqf84TMZCFKbEkslvtecSv4cAO1Fz0CgCgwELyGh2A
4Ekf0L29rkrrtpg0bCNdbDWKQ1yl1jcgrO7StPPmDsamcmSzmOKsbPh7A+TzuiVmnhltdPR9J9zW
2m+uj2ZMpymkmsz0t57186pyiVZuGjVXlmmC+8kUIz4a58ju6b2RnrRXWxvbs94mfBAVWSSEqOOB
1UekHN3sPwk7r+XIcSBdPxEjQE/elrfyUkt9w2g39N6CT78foZ6pPh0be24QMCxKKlWByMzfdP9I
d0q2Fi538OGn4QCzNEjRmv4yzmaLGOrCpCrMQDsP8+zf+2PUbCcvzbCc0ObDxLO5vZu8sTr7rflI
mlZ7MBOjeEVQG1Y5WnSKAu3K5KyNPq5wWUMGLpwomUM0nrTMBaqZ833jRClshFk4t4BNnkyxwXC5
/DrlzTYEg/UzCDHLQH3sbgpzf8uDWaII2jn2RiSO1DcV8pzPZfLDl2nwPsvuBGzdOsKVk+mXZGKP
UHkENxt6eKlJ8Q6P+YsxkkJTeyFx4OLUYPob4kPjinT/tEbTHXmCJRxi5zCuKti6DcMQ6Xe9Dg4T
ogGVwKH8VpgXS7G/B78f5KLdUKb38EWKoDZWukQDMYm3k+QLG5nx8BLF1fBUjhjO+NV0D33+H4lQ
wFbEIvqOf5AeGuKKbpqBXp2L3D/wq36j2wnSciKFfBMgs9fXJAZ7UaznULPOWdOgiYJAxGbIyOhm
yOpMlss/vh8bPCDtH4UVYnbALo47bwzqaGobjE6tYG31Y3I2lkYsivwGgcMZYfrThGHRx2iXq06V
kQfEvFZqL1dNGczhVe3vnWO8Ax2Erxi4D+bsaW/kGqJdBPH01E/iuwXiAoJCjDvvIK3nVoj6e+LJ
TYg/8KvRp19xYaJopS2nDG0pdqG9bVFES73g7DkZehopdoTOIoLRA8Arh2J40Qtcw9K0RQmoesio
a/zUkA1EcLlH7t2tPNhyCMKEDQgLUh1DKDo0JZdG2N3B6mNyUX7ZPagFkbBl+y37W+zwXOY4/Fwv
nBtsEr7MlsjR+9DSB7tHoSH03buwwksyhJykRn4v3TvVFCZeRyC79Y0apsNP3w2BrQ8RwmfA9XYd
aoAvyK3MJzTtodd3Kz9CGW1GCxJFOKOQmLEsXKGF16iaRKt+MxxzRP5t6o0OWj3enZVa+nluI+Mc
kmVHRIaanGPOwwk6sw6ZMZk2kypJt9qMI1/Wn/iHu+shnMo7U5ZEb6pr1N0PvU42vTM4r4OJbTli
ACVCYQDv8dWwfBzYzDrMDnByu5d8SL6VaeI9Q1e4+qMXXnXS7luSVItgLHIRVMbu5rT378nO+vdN
jmB1E4sfonHHV+HbqJ/P+Q8zcdE0avFYaA1ytvybeTKVfkROBPiLf3ZxBvwvbaJ6ZjOjRtuFxYVT
iD7vLB+pEGHbPgiVJZXiTw04eKvLdmyG0V1kJvGd6s1UDYe2Fuc/5k1YEHw5j+rv79rua2iSf/M8
1PHIm3VHLZ2CveHYcj/juXY3FahnVI2LXDzA5B2UBslZfiH5unrzi8N4RnhoCxRIeYKy6UUfgUes
LI0CoZjRr7ej00/XaK5Qk3ZMuYpmQBM7eFfp2opSf/M5bmGiIqvC10NxMVyrX7u+U/GYZm/Ulwh8
NqrvqD9725Kq7W5OZYyhDj00v+nFiAk5VvIFFob+lJQign6ndd/ayjk0IRkx3d4PVlQfYwIQ6mQE
s1Dd9kUaVecWD9A7o7HKg+7kP/sAecV9Enndzko9XA6aHCl29D1aXiKh6WlW4iJhsoxns2zuTANn
a4ofU+9M7MoSuWUHoa6wbKZr6kfaVs84qcfLUCvK+ylrQ2KtabpWui7PU+xXd4Ze9ofCnJBTs3WK
K/9SYIykBDIbRA9DNmW7EZPANZV5wmxFoemRFAZl6lwU7yZfamtBFjm7po5wTVsKaRQojz5CKmc3
NcRdWxr42FjBDyuAibdSc6PRiLvMRuJ0cu2fYa8Zj7Zjxlsjl7yzAfpiZl5Vh9yeXqg2Rd+HJcpE
OrzDqKb50ksbVmVnotXJKRTR6WYrKnKmU9xhDiALT7uOwVCAsKyPYoALMwjnbJG/PiDahvObmmvS
+d+uW1N1nRLUW5fcgQFt+zr4VxdnSgBzy1SwNG5DGB07doxCncmKn2fGnWqq0ltbJfw0NZrr8aeV
6eVR1chE2B3sWJMXNVIN1MX6YCO5v2KjEEfkiuWj3kZf2MYRWPNwuMGWdWsgn7VJe+Q/4qUxrOSx
b9n51JSe1Whv1sFZwVmT76Nb11ffJDEylq9JqnUPqCR3D7qHV17gFdORBzxOJRRCxCYvZBI/Ju5L
BAoX+d9+wtTHChAIXbjfn13usIblBx+W3N1EKJT3U/cUpIl15nv4FTHq7klNtRXYt7nczUkZHmpj
fFOfoqYfTzwl+mMTGGTIs+7PBpG0DXWf9NQlj93/u263lOiwtJnWVpC19wF4x60DwmcNPtbvN2Xm
v2q2QCUb77jkTgQmXltttg31Nrkzlyk1r4aqqSN0vYWjcWLqDiiDaieZOmz4nRE4a1SUsvU0zsiN
/7EER/Pfq9xUy1YOIO1FbwLRz7Fw+B648pngM34OUH5aBmg3rUaBbN2Y9yHqEHa3LwyO827uXAyQ
luseEtMGRxDyiWryjy543eIS1IecNPkm5T+7k7LUXxxkibZDWc2Icen6CwVW9xAhxCYDG/PXZkzu
W80GRS0z2Kb+WLx9DjsCuY2VuqiyQZ/Rzg148hNMZMhyqlvL6nGwCRrj6KszZcV7VVb5XrNlRwhv
5u9i5qwAZqm8d7Edf2k9aEjUMteYHhuUJA3kFaJeIlaTDXcGUp53Swzy2VSGdZimJDnfplRvSqr8
YpM3uM1Dx+nvgij+JY2yOSjUsEITm7C5NzE+y2s3QvADtGp7rXNNv+9EDHZuzJo1OfAfuoexs197
0TXNOWGEQzOuNactv+i4Kfi2UZ4Ub1k1QeqTmNbH10hRbAfsFINMfiO0908lTLBTIAqTM+EynnCA
ON1W9NY9GDYfUuFOLmq1mr91M9fqEEL0g1NjeDvggbhtJbG9Vz9L/QjVy5r4XbPd9jhDXTqhJol4
hUeuJC1JuntR4Z9UTzVYonsnf2lETur9E5/cBB66WCaHPxjf+bmaK4wVoiFPTpbAoWMITv2ixqB6
mL8sAhv/jdVkipa6gTjwcTCcQzkP+SHEzuLcDEEMPIazphqWea0dSmvY+sTq5q4N0v4SJmhJjXBP
M9ceD2oKiySsM00n3w2EqP4uRmuzZfNatC9zRAKT4xgu2CQrp7pfey1Zc4V5RKjqzXIS/2iE5q9k
IIy3QwElIIyKD73AjiIcg+7a4un0EmTZiRJ68dH1UbSvxxxBiTJrL71dctoItWuUj+2DdH6Nac4m
VoWULJZtXfXKpkdk7zZWk74vt1GDAU3akNg2ulLDuzolWZi0AfbOTfakQ2anDsGcylOiv6/fmf2r
GpSVnl5KWZ9LNB2es7cKNfkXZzFYaM0c7FIO6EXN2XY17doBW7SSWHkrdcxgFRVGkWIUPebGjIni
tgYfbjlot3vaQTilfZ31wkYLzbCeQkHFxZlRbkkbGD5aHduPdWKwzXjxhad7mqwREubkrNcPJXd5
nNKRfDeqWHvK5FgS89c+R2OcIlxjD08eYfIaDmH0I0YyrMl/ZPNif+vY4iqFwJC1rNnUqwIW05Dp
27gJkZEOyLN3VAbhgeho80xWLy499M8LihPavug9bIqY8iRsmQGmUUQqKUUKlmAE3QsiErd+yEQn
kTTF1PCYT++VzqcNIzZOKPOY/kN9LtzBnXSaS4kmrKpFdWN30d3Cfg6iwgOP4KEBmVyaINLQ+4vI
/TmkvRI/AXjTCsr7S4P1UHOwtOldTaEkWV5wcEIQpnQ9qIPYevqYG5dpeKhguXDWHzWEGTRrO1Dz
WnsuVlcA0I3ziFioO+d42qCQZDho9eD61txnlUPgAQVhHZGi+m664B80p1xDf5BbZzkTV65XXHSr
Q1hHjb0cgW3XMsXabLPFzs0aUcoIyytUHKgyqvs5zslLleHTbFX2pfB2/oBzQNL4/Q7FTOuxS0v7
seq0htITIoNqTjW6DC9zILwVPAUDmFzwrhAuqsmgB22ooySf0Bc9SbSD1cHajsPIK980metow3//
fOeWt08aP1O9GB8K4JdraU0ojVla8pQ4xbzPfBTPdTe2LlWbb8MUWWzXH1LSWEBq9YGSobOU/+MF
FzBCZNq1BYFANgIUwdW8gJYyGVenhAKygpGpX0vUzK6uFlxCvTPgRnkHra+fsyLduTAPvkrRgdtw
GsQdAAKeKXJjlkdl7UvWhw+ocRDIRfPz5JX2WwzLRUhO2Bh1yHcjWvxp6m3xz038QRAO7Cmqjyse
9e0lqYKNIjEopoNiMqihampEjN0ce5AQF4Or4WjUMbWQxKLVumgyGM0+ho/w0lX2dNfO/ENkPko2
DJwPpyq7c6WePvt6Zt75hdNRj0TXqM+GAYkJJGwhuCa7enINzk1g0+GU1qvGGJ4GJPbh+hOoraeo
xkB07pqr23pTtvfwXT3Wrk9KreQateK4fIpVXbWqTf9JII4cLxw5O9O745i7NrhIRL21gWoL2L/i
DgRbedeGgFmz0RrXaliRT9taHp6lGd++y+iN4UX1bg2l/uwcaI+3GdUTJk+fxHDydNdhUIs7Namx
Gv77W2ZNL59JKLywVjgOJTXfAzmeh8kdzxG5hXLXLd0QOWTSeMT9ITyMp1bf2p0z90ArzGwrR6u5
ICzZXDhmdpvcGCpKRczBuP+9oFbVnBZYpxYOeGE62n3jaOT3Fpc3a9Duq2WqsEV2HhrvXk2hbxW4
ILJkiCCzPm2LRPzzm38eYdoU1yJ5GFzvp3o7ec5jMF1iH1NJ9CuOaM3e63lNWAO9+SEkNsy8ioJ8
HfwcSLoqvTWD09lldOFDKcE1NeyXoRXa0dcxcOertMpHz6WoNzU13lExXL2QNPWmawLt9PnLZJme
QHcFz9Hzrd0M4Hc2ahiY/TGY7KDZcly1Lp4wgg1GwDw+F2QOUnPeVjP0RU6m6i9ONfcXs/PiYjO2
d3U3GOfbvAixyfDnnHCT7LPQNfjBfKxULrpb9na3M79Sr4tWU1iMF9Vw7NogzlZvKqSiHz+b0n7K
LBMXFCvZKzylgkzGI3WaALURV1b5yZYcICVV4lWVRelVb8PgzSn0PQXvZttO+F63S0lj14WbEKm8
YvW/CUrd5rCt2EQke3aN2xQAyYbgw6obyK9IoAbE2vomsPoDuT1y+oOBpltsNzs1FDp8i0/ZhB7Z
9BW5IN4l4FWc0kzQNrAEnaqS7z6SSlty5f4+6PLgWE9di2HzooA1cCSzJ86+2FDweSnn6RL2Mvj/
cO515Cr/Lq+hNogunu2hiOdZuvhLEXfUDZTj0qB5478NoBLcWocHxsG1AvEsK9PlrNeQEJZSPKtm
kOwsErAPbyf+Rlaf7YqioFAySrmyEHi4xg4nRSRpCGAhjIzoCqz6GUk8y0KoouFXWTt6Ub7hvGXt
Z7SuyXazKoQAKRdx6BxFSTYqyA92lFrXYSlAaF2ZHsoOe2An0fyrtTTC1k3cUUL53k71ePgcqmXM
EtFqEH25A5VgrNoo7cRGragm1V8MAEXA17isaYunlt/6wUkDoHtWA4fXDJe6YvurFPU/ADKTL/g9
lRsOLMlDTAJy19npHtyE3JW65b2NwcL0QTr4ZFP0f4N8+iFjs7tXi2b4DSuk/jUjt/TozfE5ba3v
Ysqdfd9k4uzIAfVZ16tR1/fmsxeQOFv1vpzPauxwlsTz5K2ptPERX4bXhLj/3YSFustRrNhjEme+
l31wj5jZiCmp7d/3CLmsEssIvyTV419U92LMcWadIX0jMgq9m5gcd6AbbV6R5W98eCv7BXdHnG/T
qXqBGvfSrM556KxynktrzwqrLWE9nhlNQYJIdX0nlKvKWujjTZMgcbKsuzL87kDMO6iRBDx9p3qB
15FSCgO2UJ74aiqPPNzP2rY69GHQIEvRR4+6U8cXTuMdhWCAxjaauMINzXePit0eTbXmAKmzqAVC
CrHzxYFfnsj6gw+Ae9A4922nZZin2RfpTd6mX6T9gBMaxrGuE31XyZRM0USCUr3ME9ZzabTNE6qo
3h21S9TqZAGMJI+xptRS7RjreBRCN22+6earFHHwMWmau0sB8O6gL1wsK/1CAbt5Eej5vGjjlxAp
8Gc16Dt8u/WxMM9qmBtOtyXrjcfEcmkOGfpENGkC4mPY5bBQeAxt1Kj1Z5NAf/rmVXmzr5Iw2WTs
Gs/UsqtngSnFFM67eCDX1wUNZ1eyMM9mnONOZXIO0qy8PM18sg4wY8zLOANZ56B/l3Z6vvd93Ll9
rYbFH6FzdEJ5aiZmpGxCrn47VkN5l+IsgjWiCasYR5lpaVTPBAdfr3TVqokSRyUqQQv2XI21cYGv
taj19AlPWwpygwQYqwjLqqG+BCDPCB+BAmSnsbB+OFofv6Kp2yJzVoijtQx5dgYbC8Fp+K84iVIa
DPB0ktk2NdzhUCPksnKbGFOkSENesLGEts1ykZF2aGcAFEWWAJzsZnFu9F96GVhnyxvk3UCAWa6N
0gX9Hc1kZ70k2HixWd2Ltvf2IrbcE3+1fs6d3tkI8pvNtgkCc0V06ck1z3Ftqfxi3lYBVctSOb0M
pAHL2pBfEYuX6M4wv+joJ547nFQG8NZQv3M2EVJ2a0ghP1LDpNyMU2uCR5WEB5umD7yv3uNocUsj
yxGGNLxHNcVfVuHyPVC6xVwmWYMFFtvJmh1IM8sNSBlEpLextRfe9OrlZXGsdQFLxcRlfjkfy66x
JILwoXcO9XoLCmL8sKq3yLKSd0siQj7PCPobeY755pD/GiV/fopXxjppm+heNaMRm0d3zF9rTf89
VcN5sgAz/SrSwr7eLlU9T8c+iuKQvb8tqJc2VYj/zkJ0/muhDKv+2FGD7SfPxBE2jPr7zvNMNJKT
aBU7SEZtaz2MD73BrSuOWDZVNC7SEsiU+YJzBZTMK9Uk1TJnB9rf/xyqu6mFoMaZc0DXGsnt/27B
pqRvfY1EmromCV1ittxtNqPdo23WetDLxhghfXxopnNp4bTE4Dathl4r8nalup/XQm3C8qc5V/Bp
8inwcQsofzeRD/DJW3BLqvZ6W6jtxeEiafPjbQEbK/u63AQFeh8FQBr1AnWTriuGvxduN/m8MYDw
bV/wPDeqzLnm6VDtvIycthq63eBcVQ9sxO9eqaeP7ugVx7/m1bWBmVSHpGYfRKCEVHgtrENtz883
YKNCLYLNu9dCtENdc1igOAvi8Y+uvWAhB1S7PgGQavkP9ONn97979CotpH6ClnoHzCq0Q2pOeCkL
SgbTUhbXPB/7Erl43S9DhQty4qHnUTIfI6wx8N1bsEKpSw3UkvIc2+iElUvOWTV4Gq3NMssePkfF
UJ9anaBHDZPS757QcTTxaE2bPXaRI35EIt2DhPGOndtEa+Cyw0s1pcG9r88nPFGGl6QNhxezmCll
S/GopoIIRE3a2AQ9y2LvNN3WTwqKPo79oMvRu1h+7Tza+XxwEy26A3fsPtoYCz64+je1FE2G89gY
qXvmUfIajn3FDjCTGe9LO1mrSxJ1iU2emxIcCkrLUC3gSov4gNbKw+1WmsUP1jh73l7aJpDKgIuo
mQEVvysfwcvtNkEaAv+RSKlNRlZjTVuRQ5/TCEDl8sv/vvfcr0ff6PZqWA9juErjujv1QPUx4gRT
VCWRfAxnfXpEjPHZDSA736ZGLKDINFmoIHABwj7y0crmVamHNv6UTFWamz1C0oxI+MRrF0zGfVTn
m8+15c61PyVXJOQuf0zpc4VIxvyupprlqiZLxLHHhXul5lTj21NyGBYETN6glBiDDAxm9MHssNFJ
lS46aQutRQmHlZF/JckcnD+Htg1ywbIKbfN7/O9L1A3U67SFE/Pfy9T8592XlxrLSxut1lej0bnb
xo7MsxU15nkRrD6r4WdTs8GrnlqwSV7va2t+/OtatehP8xRu1MUyo2qJoL609nlL3XyR3BuAFlG6
dfZaVpJrxjzYqdY9MfhGWSxmtQ+PquyjbZb65d615fdgecrm6oHrLd3IINGkJlWvtjAFI5iwdn8t
3C5WCyIvtOPkZfu4MoxtNC9cyUXLSTXhfz1sniK+MxrCmb4Hc+tzDOKbWbsk+mW6A3s1GeRPzBTv
Os1GBCStPybyOutoGrED1LNHu8gxhi88PgEtgItFrUXYbrwfUD56cstfQsRZtLItuS8bW/tZ+s2T
VejBN5/4ZVXrMvmIOUOtAiG7t9ihJEDOy3ue4YFvqBW+TJUMDqIx/pW6UBkg/KJiWPW2vDqTHm57
qx7OEIqsh16DDWf3AP8rAbop0/IHlQ6wk5zkJQcNSiHiJSFyo1qSjd/JYeGK24VbqzHlPnHrAqtC
9EHAlgeP7dKwkd2LKHFPCYbEicTWKbJeVWpIJYl0vXd++rWb7CrqOrsysbNNAo9ku8SnD6qRJShK
RF3atV5Z1mKZmRvgtcSHWl2kgR/IL1b3OCOt1NRERItiT2g/tMZjqgPSCD1YmqmduA9tL8wj7Phg
ZwO7fDV976u6AiX0OwnW4ksQuqgaJTFYlJlSvB9V9npx/ZlXcTuSWCvk1H12ZydvL7Nvt5cQ7Swk
YimZqWvUQrhcfRuq69SCmmu0PtyWBTW6v66L6wzxuduFqucByYTT1ZnrTP34v3+JzxdNXrMkurA/
wsAZeZBcfAcz79yZjo1RkI+h32aakNlQk3jmOXeqycIR3fvugQLy7xk1ra6aYwxv3QoAlJrrltup
hUrG9gmK4eV2HzWvriiSDuBN5meHLJQ56pf6k73A/Hoiy1Mzht8QM2/QkF2aZSqOk28GuMpoHaRu
ug+L8Ilw8VWVcWuAzv5KtNNLEWreSc1pVXpCdGQ83EStVK+Pjd/iV58Ls/WVbFm0j3Aw1YwWuis6
FPVGUM5Y/mWcy/ETGHd9hA20mgSZal9ULyljHeJfR+Wd4OJKrqq5Yk1dn03wMLcp1VMNpAdSl2lf
f4CcDfZqrrKH3y+9XReYfra1NBM8wnLP28JtiEpdcw4964+f0/U88SH34vZI5Z3CGpVZfGrp3po0
7I3TiIra55waqtV8dEoKLTJdWYuQobE0Yd4YJayfPDsTnbmrrkAiWC2ruaHwWVbjAAn8390Zlkq5
GiYERT67f1+gXos9IOy6WKzmfbAop0SBBCEkiDxUDyOG3z3qGnxjbpO3a1AjgC6j+bzws6su+rxe
vd4X/VYv5uxoIwSgrSfP5dxkcHiCnVlp6x7LFMivGn5FJIT9i75UzGqZJ/4ln8RLE+YYqVkD8MUG
tWVS5DFJvFk/oWdnIDGzdHWzotsvb+dn948LarvW+WMoiK1UVy39H+tDyc4WTcO7MYe/zAx5/C4i
pbcywwbFscmmiwk1HqKetp3acEQrzZEuJunZd22os7tS2t2DhkfFVavwP19YKqqhfjIBphf5XRnb
IA5FNr//1ZtyAQxwQbTpoYaoYAccRqu94OhWVbUH2pM+BzJBtB/dr18pj5kx9X8usu8rI28OjQKP
5gasBDd056PvRsNzHVQgHFIMtnMAjU9wwFd2PdfHqYurYxQAcfWgzO9kXbVPou+m9dAT5YFlCy+N
qcu9r43O2jb76Fk11L/2QnjDfRHaW0+GlIhZIzZMw00yzck1jdKf9QwuqVyaLoIx0fbak5oy4XcT
2FN4uNwuiQs37yjoZekeqYE1ROH3YTn2TksTvWpWW77MUKnQf11kamSeAZQbze0Ix+xn37XfiM6y
hck0u077CBd47aW29aymwixsVp3jo8qUCOyYCxRY1tHsPRsF6ZTMM5ON31oY6FgYJgNYEvsGgfqL
7vAWkE3nZO0DdZaum55DcgbgUDxCFby5r/VUvPl1oh3JlMQoQpvoyVoyOlA2yQhQ/ptrYyyJ2/lO
XeBR0kCufXav+Dl+vsaE78pXnMc7D3Sx0bwg2WjueFSCHH8Je9wUP25KHmqun54SIwZAsqAZuzII
NnM16mg+gzQCWj9BkLW+kS3z/mBtqnlF0PwkcTbuN2p1Lm7GKC10mtU9t+2xbbT4pzY0ydrw9OlB
b7vLVIlpQ6VwfAKDKlYp9rjr0OH42pXi1+SQecuhRt/jojiSwjGdj6RFV3qIfGOP6Ui7RVH5YmlG
8I1Uv9jHUdWfagQPNu0sqo9IQxrOjO7qzHOfe0839vyDXVI1efwkTRTFVu7cGa+oyDfHEdubtTHg
KJOBzz56LWFV3rbF3hU5OKEcwIj0qKanuVN+4Z8MT6jV7nMovfDk8E4rp2j4nvX6SQMZ9wVvEsBu
nvzmhsQUzSKeTfJx3jQ6+HZdocxAETmoGS5g2dgjIMp1DLgwSmiuWZ/qb2Vgn8xC2I+GO7Zv9sfg
Ru5GNlC6ULEVqBTopD8N8iu72vK9+89JG5/zWKbVvm7Nr4kBrzXrQf2vpjGgXCW73KSstczaqXlo
k/moityaXr46me3ssRkErL/URlS5u42/hh5J+dcpSupjHowLA1f+HBr/va1c9yOwO9JQg5CvMnAS
nqwcuEryE647/uMjxreq2FB3iIbbzSq2im9wejl96Un7KKOKA3IRa1t7lC91JSQuPJ64EOA1+EHl
OJ8D81zHadJuXHJ/16DNyivKC8mer5x5FV6w8kAfvhs4jxyiCkKNEkf4bz4MtS8uABZA2TU2ZCL9
arbt9G1s0IdISPle9MjT7/yBo3hXIB+LAmbNU7IavVXjYA3KO7+F+jh/A3Yb2nP4DdhnugtcM99k
TZrzbQ77VysOr4PuN99w6bLWLnmgK7vM/ABqqV1BSPncQKGuR89lahmXOMg/NAdjbyfCvFwSYG9E
a7YwOhCncConw8PbJGNEtR2lJxgbCIg4ofUYW+JjFkP4Dx/zsiG7vcqHmuN9RBoASuxg6RSE4q46
oFlaU/uu61PjR3gwBujvuNpsowBBInsr0B6r97i+ody1EOCEQGOakqqzQmcL2prQ9C2aGtXeJNY7
NfqIi+zS46393aOw3/wxVAtq7q/rbq/9327lN3WbrW53vd0mrup2G8P6RoCZR0RYNPeT3tpXxfsJ
Gss+9LmefD4/1BziZfe1bdhXJ9XNC8qnTxEV3HszMZ8nM4xPwnGK+1tDXR0t0TQL9jWPiXAraqNa
Q9BGFL10C0KhEkxqkTZbr6h/qc+catRHMCrtcFqpsdDrl5pI4PDH3O1jGutyMfwrft2m1KswoMxa
on9tMOZrX5sj/AR8avuWiunSqPmq1TuJpWfhHorWf1JzavVzQY0N3552bkskMkDARRKpNnAnd/OX
yeKoD8y2O7ULZaUaAKfaoFdAqxTFi6kl1ZVY9aOktN2ucYPHXhhgrez/KZry7JFK+SrqtlwDA4+f
hrjQINZp2VmvcvOUxi9pEuvVxsLifa0Xg7/B9kFUm5yY/4LClXnJRG1ejPHCueLQoWfoprBOliaQ
lFXnUeT72DZQJmsaC3qQgeJN0KXUedlKiBG3OqoCPwpjMleNr+E2HczBsVzIG5VZ2W9VqN/zLskf
MvL/KYLwLkMj7pSi6EAOHGBXEWQfVDz5WM9EEUXa4kM7AoLDQf1lnt32yl4SwMty8g/Z4hs+Oo52
xuQqf+NsvFHXp5nZ87WDEm7X8mpPs/ugF5p3MELxPaRuzem3DsPzrbFKymR/Dc0YBLGJv8gfF3f/
vQxDy/Dwf+t5G0L8XUr1Fx8fglWMfRzf9q2/SqmyLRKUrxPzJcH36dqBeXz1AWSVQVE+q5HdOtRa
Jv3ZJ9H4qs/pqoR59wJh2n6dvBeQCNNLvAy64pikcJfUSiFWedx1r8FiZYQJ7XLfWpt5WIDZXK4W
ceu89PiqLIPZ9qgX2V/VfXrYYM+Gx2lpeZFb8G+PerQLDNMq7tPIuZ+DVJ4a9FfvsREo7m3Nmo/C
Zivuh5/RHFJFy3ZVb1cnyJYg4IypOuq+BRdjGd4aUbaXqRTfA47AmzEleFqFNXwFk4IHbEs5iK0a
q0ZrihTDZJBJhBeqH7WAmpsebsLtVar3eZEF4I5Mfww9MMfMGeTKWsME+K7ILf8OlQmkoAz5Yun9
q+Mm7lMgCwzsu0j/jn/dR409xIuTVDBbrSTZ27PX3psy4j2ogiNKSjBmXdN80OPEeqhDrQIYowVb
F8kaxNaAV8WLcM1NvUYNowk435R0R4BP9jkcwzfB7rWXc2CfcQT9RHEgNpAcjYyE1cpr+RwKpJy3
Zj3u5wVs5iDHdOwxHl0V04zQPRi8h6415MUbGkoDyx8qKcUnIInSGtk5gE54XKArDJfGwVbFPWLv
A0fRjrfuOOvnWyMAgYQ+esKdW98rNzW7H/dmR42mb9K2BekoXsvAiA9GpYfrQLT43C28F8PTqp3r
YwiiGDCcj6N7aw7/IMV0nOJnc/oOR4fn2OgkwRrBW7LGA/AQCsHppe+RfEG5b42Eh/PSRvhV4/ib
oydf1K+BgSWsVfrvkWjREC/q7JDLKLhTDXZXyAa73c6rerlpfRABYEV2VdMml8j23JOnz/PeanrS
944JFMyLrLcph5NrNGb3k80cbEpubsspJ5nfjdoVlCDA4jQVn8MIHPY1nUz9GKamtcXMc7izlkb1
6lFLCIPJdKqhGWYjWmp1vnViis0h/ONTB2XuPUfjqmjGBshzEF79gTBFzfNm/75MztW2bwAD2d7g
4XFHY+reTk+8BLyv/e8UbnTNhssex5G9s3HC9BhHcfmCdfOXyAyq73UA6MtKhidUSbHbEMVriUda
yOUfkRG1e2Dc1v9Qdh5LciNbmn6XXg/MoMWiN6FFRiYzqbmBsYosaK3x9P25g0VkxWTdntm4uQIQ
EnA/5xcHub4uoP2mvZF8aPT4NBdltLXSxz7W4kesx7j5i6KqU5ShQKl8sLEx3OM/lp+zRnG+zMjD
jo3z1UO79mSZ8VMpyZ9t6utowyjN1TXaXwU+LtjTVOlwnPKApIajZLtc86pvleEcQjPd6IUG6zdR
vmYKyuYkJJVzPFf1Zx+o3KhPyldy68ERrYTu6NUYXYAuIFL6Gw5qpBlEJQHDHkSfHABt2JyqUck3
aEJke8ux48NsAMmbAkNwJ6vHZtSm97Irn+OfTd9ZZ61jJ04wqH0BO9S+mCn3Rtt7AkCCSRZ6A0eS
pPAKYiuA29AkLOXb8lJ3KITrHoGBTke2gV2tfrJrt9nGQk8m7OHQ4JL9UOkFN4rC865Rqb1rYYhu
eFPxRV4JJkW+U/RWCIZg/FdYxnDRY0N70BGjO1gu+tyOE/1lyLuCUYc81VOnGr91TXU03PIPmQZS
uiT5wE1fJo0a9lkoLnN3CWI22GCb2GvPw3wJ5s47xXKXXYo9OWBBRpZJcVI9AID6wQM3QGU+5aZW
KWxhRAImIOGzY6k27WWfLNjtmLhEVvpp7evc/p0y9ucmx//HtlSEfkgjUyqh7z/4BY5CnhefHfU7
O6JPsQnFmnXthNuMCMyUTawiUZ9ZKtIR4BaMEb37GvOvnWVbBLkEu4JFzYRsuwa3qNPUf+mM9aF5
CkUhj5GzW13b1+xTNpqI+xqzzw1UVmUBTKd9aEQhm3ZXfokVrT6+mienQI38+zjZnlI0zS0tuMjD
oJrOx8zV3oP1BIfdBBXpcfAVG093ulPsNQAj5+/1hJGI603Ne22yh9OsVM12yJB2kn2JYYOI6ptn
hPGb95iyxHsMHXFtFAfMLnqCZhjcoKF+KoXSje+rzgEVOgzwxJ0mnrCDKZ3mmRNiuz1ln2R3ajvO
oRSzVPZCz6WHLXcKkVVpAbzEJou+sOrDgxD2fezGoj+CZjAQRiAllDZhe9Bn/09L5IvWfjnYsqHe
sBLMeKbAvYnc4n2FdeFHOJOg6pXuOHRsSWA1YfysF90Z9yaQuHNys8Et95c5gK0DMa6HjSY6RTFp
hBZ2U55AVubneHDdKnjpiih615nco0VLdrHfU86BQVjTIeaQbKvaF4DnItwvbbNphg0xRhgNuaI8
e254drFGtoUc2gwMdWQZBZdSi4ODVapz8NSKbZuXELxAGE1Om8ZJwPCMyTvxc32cu7jchf4IJ3xK
9ZKMRwpIJYUxCMe2m68QFRuCVqJaBSrUd+urAFKfSWroL9yItKc5nPcAdfWXThQqUoD7ajDHV31l
X+6GErdOOaND1D0DCI9rHaCLtYC1HF6DSdkvkOVBKAHqAIG3ZYXRkUW+Py2al6DDA6lFxfLIPQP9
hR65Ln4uhKjmwW8OOikiEGR4LawFVHEPX3niAMtEOULUmCi8icL6OjEMO0g7AMFy6+TgX/OopF9y
QrJPbl1Ht7gbFNz3wkTQ77GqNj1+saKw0+T7PIzTIvPAU7nTPZ1kMUvX2to7oeJcqqGJrrGwvFsL
2ecLB7xi8E4Yl8U7hP+yLarrSrIHk8HmYHL8A2r/ldpsO98Mb22m6x9ztEc3edKHiJn1yhc0xPQr
WuzjbW7PACi1DzwqfwZtrzwkymM1lMbHvm5+KmjQgRVPbZBNmrONrYJTO0m97aZZ8YkOFMHVtFyc
wVM/efH4Rx013CcvSjbntzmb2v0Yhe3HcJjTTY9D5QZ42nTTAqNHxN7wT7XVKZ9q4SqPS4NyM0MI
0EHvb+1MzT9kiEy9eGjSOSW+uWlBBmd2YHRKWqckeIb9j7QKotvK9pQ1OYsxt9fDm4581SQSLdrQ
VOEhChtkc+0crY/tpFjRtYqLiryEqBaKBrE60L7arvcpGIP2s1Am89lnwj5sVfQMzRzai/gLC6Cm
rLVGxiJUVh2dX4EfqenBEMPrHFVYAiVasJmsVCXpjpVoolf2ER/I8CnnL2hCFM14ZqrgWF1UCTSn
HZ5rx+w+Eb5LzVL5CMnbfOk6JAC0XeJhtFiHSP8fOlWZTl47nUgeFjdZNDy4b1YV2pcBtx5F8hdk
3zKaRawzWtU/mOLvb03JX+rcd8ek9Nrl/y77S01HEDTt8foK5j7Zy851jrwx1PLukIw/k3iydhVM
GrOcumAnrR+kywNqPsZV1ta+xQSi8WxOOrGYy0DHkgPoPyNjUR6drEfMVjSz1gB/oBfWdTD65F0r
tM7sAK2wOEHpnz9du18eLXYFoEhWlwcMQlrGqVaaE393SNWiCHVuV1EDxUM21wHZVGxSJ7aivZet
lGW7yj7KzK8llr7cDr2bjaQJ4OnyKluOWYGeFf19p7u3CEIsnMcCivnvATk6iSk6ZI4H33gp/Oxz
bFXecRB35w2IWONBQba13MU967LcmFy2Ab3xIEeIikQbuzLaC4AO/eopPDhDIKcfUv4YLw6wqcxG
+Gpb+8Oz33qTWKi2H1g169s5NGcCOsxl76kezZDwnBxViY7c2jb5XpcIzcFw2Jjc/J6txsRZxNDn
cwyZDTAIfczaI7oSP+miBdu6fiTQf5RjfeH6z7Ye8pOvYKJon5LUdG5jYwzervI8b+Mim3iQW5JK
139tThQ2PMe6waq1LkrL2AwVuHnQmekGMZAUsi9+TbbeQ9wJ+6cpbPonKGU9kgrVFW2JX12yX5kq
96wX6ic5f4hy64KTRQjDT0/IVeTVLc3+ihDVfC5wNSWBUifneSIFIgsN3RZUv6v+Vd/cpngYEHyA
NTPZp4zRC0CM/lIMOoxi0nvXWf1SW1P1ZzbDJQ3d2n2HUo9yGuDNlwTYqz/U0nzsWh2ITOOPDt8B
TNMAcWTMoC1Cr6zYzd0iZVKhDr6TlJWADAj6o+pPS+jzklcZzlYf/2zJ1eE6emEtfyaaUJ+Q7isx
2s72vd72iPj58V5xVSgYolnP5HIfJsT7r/C5LvzXPLKuPJ+QP2Bbajn6uxnXRfA0aBiWYEDs/pNd
R8Znp27606hwMtmcCthrJozMawtX4XMx5vtQ65sPltaPhNLjR7urbn1ll+3WVca92bN0yuKx+tDG
4F/VeIgvshk6qnpIDD3aQ8GrPhiJLtAFOIHhslF9aNQq+WA/ySE5vWrGnzaqIA+yNWcuMT6t/6iT
5zuaQUcuba7sr5BYt1XiqH/YsYWbU2DFjzzxp1vIIw30SbwxDZ8MSZ7FPB9G8OjICr3EZvMnVE9o
+qIVak7xDsbLBkbdJaiK4X2nmgVadsa4Qx7Cvrk+wiFOV8e7YrStA0jo9gVZluYlxRLXH2CUGDZg
A5C9F3Oeos+To27xana+ouSaHn2vL46G0LzXq2ILw1ff6QE+ukT3QOqsOFVZi/3AP9qa915KUIXq
PLGshfk7F7F9Dkbty6+Id4wOfZ3isO13fbKJ9AQcXhIdyiorb1vHZwUnxR9NKHFXWdPjxDkaifKc
oXHyGHn2xxxS+1m2ZKEqDyx6leto1CRIch3p9PY82an2IAvf7+1dM3wzIi2vN7ZvWde10OZwO7R+
dkEww+Z1xRE0khn5cf7EFYT/PxL0JHdzhiIPfnjGNVdCkpEh6Vgz/G4GEUmArAke1mLq8qhZOo1J
ez0i51i+tp1ejLY6EVefvhWkQvl20+hSNaX3MRu605ymI5Sn+Mnrsh6KDUilTYXD04OPBvXVGF9k
YwqHHq+C6u/BV22lxFmLeMGzjRkd2fd3ITYH71PhGYnOW7B18VM+yb44Uqdb7KiLFLzUg5czkMjW
wMzEDyN3149WWaL3Us/6D8JKZMPSH2o0fpHaRzMAW2PO4s9pSJYZzLWxdxF6fVxuH/y7AT+ihXUZ
A9Z9shaI5qs+1x547OU1pnbuCPJWMwTK1SRY4YjIb6cSVNp4mIZdg6TPrhgJZgS1Whfzt9QGXDD3
pyyw9O2AysMHv8nVQz+6Pjbh4RkJGOcZ1yTnWTGVgWQahMBY9CljmT9H/dTt0S3J9zn3tYL92T6p
EPpKawSmAZq/l4a3oWbWiOaUGOCiYILk8I9e1GXHrDbENYqYmNfsjeVX+DHcPHvo0AVxtk3imtmt
N6P8JmuOMFHEn6zbRkGAIM/vgaQZw5MTWC8+bLCLEzTqRdbumhJyf9f31jz2cabDJqd0WSu3gNAf
56LDEqYx90EBrciWj+RRVx5co1EeCrfxWOOLNrxEG3UOEq9yRBZygAC/2y+dYZyR2rXHr3dTltP8
6jTscz3pp3hGggCsJ3nVWgPtWbmBfXEBPJnsHKmmeU6MJUitbaK51S1DGVEbXGwDp+BzUKTDOXOU
/LEqTO1AfH/a2IqHYmaQ2+ew71yWcfbc73ILa6TCdHJhlIYYdpCn/a1OeKNKh9Qmwja4fcsRrUvU
Y9alP0oo7MPOr0P3oY1PMitOgELBdjx5jrSotgjp8U0WWvYcyGas1/Y+xgpcjYI/5RJgaHwe97Kq
tuFuSjID+2qxBJB9oS/UV4wUIEqJmMcgxGwDFAr3DsZ9JM8w5CU0nmNrD9weE572UY3r1ya9aLNg
QDCz4ginmjCNwQsetNpCuliFM4dBAoSoV1XJeZftjAcs0UDvU1HMySls/ZcydnWAU57TCTDzQCyB
kMeu4omx5R7PbnS2UATCj7vbp6E7P85g686GNX3GkmWyd+Dg5sfG6pOtHff+PpvH+VHOkzVZaOrR
roCUs3PH66roe3sTh7WHL7rK92/OT7koYOfMTyHA/EupF5/u+ntHsQ8OunybKonVZa48AAE08rCz
RSAZpZiT2qhYbbbdsOl9v37G3h6zQ2M08UtMp6+kFXbwSp0/KoPcWRkX/qPmJjOLz3Aglad6z55m
fx2nHK2VIU/OhXA6T0NHedeYkOhcBaOx7Hcfn05xUJLc2659E9u1s6bj4C0PkwMh3wbB7eK6nElP
g2D7g2e6/052yMLUdIFA0Ym/cTVHS74FsTudDIEvrcPiu98LT8a4MYiBhOMhDEINYEqvXswc9Rq4
3NdQQAAbAfJbi6HlOeT6Otj6f45mChFr3cXSBnU9XBEgxm0llrUGNos7H2E1ZMF+2ThI8wY00CBt
9UGxT904IakHRVXo9n7oYzI6bjt/7yyysUirpVe16rZxlVkXWUh1virtrUWnbx0AWv1rSjGpCXd5
F78MKMladkFJUx6xdK1nWNrddMZK0mtTGLle2LAoXOqhXX70tdo5SqldqbIrC9bTPcyNKV9GZZ+c
YvaAQnZ5VlpHF0PHQ6PCGt6UKiLNUrR5aWd5uiVEl54112qAlfzWdJa1dbYam5bz9PY55Kw6YB+z
aEI7AxpXe9kbssWaTvJcZsH+Z2zLan93EbPA32pIGnjeeMS+t80SFqolJDUcUcxuUkPT+t025XjA
dnwPkTdcdDaWg+QkqbuxtJep66HDYKN4CpWt8lUBj1KDva2U5KoxtF+/ztmsIoxPxRe4fHeyunw7
8mutlfRnQARpvwyIicuobL/6bhV1ZynteAV6rVyV2fSvlXBTkbW7PmLRm6YduosczA1POUBy+zm1
uoJUfBg8GbXhPvYH2SGLfMrJoMU9m5x4wHFNdg5i/jJH65R9AMJyK5t1bIUnLdS/oy/pXmTR6dav
2l1fqSF+vXlrTlfzMEAq4s/1WAwu/p48yaocWqp3p5ArH2BmaEnKkVfVV4feX10zWnQfJoLV//bK
78+7vjhiHX9pllUf29wfHonWFDcTzLrvjgDTZV8jjBLbECC3mRNRlX1ohKIvIIo+eBl9Pi8lJcWE
abFXnYeJvYNwd5RFKCwfvQHNo/+vvm4Au6+V4y1vMiQ4W6hYhtHpO6Ps00dfqdRTrLhfFNNOHsdB
77GcRc/1miNcNiWNpqL5k6aPsohVFG1/qTuqEX4NoCEzO+mVx8h46lwLjSsE+TK0Jbv2NhrTe7Ss
VNR9zRbnFIpxzJ1+FwuPgNLzMdiFZoRfAo47MNUqcy8BHrJQCh1ZA3xAXvVFPYnJjRyuRxKzfqnn
R9l8NSLbxeg8BMIUZE4NW4sQFmhKlEu06IjOcXlSNGf8lPruea5H4/vE5ncLK7oB31yqT4UnqGti
oIiyz52Z2O/1xAovLF2HnUeaZkLa9cWHkfqoe2RGhyDK0XOB6NDavXFQKjt5sI3EJ+z/DwfWxZWV
VfahCIwfd06ssimLpND/Nmpdqrlf7NEaMc96pEKb1L+PGimPwkH51LGIYRHAaA+VaNbQMYGxdI85
cfEPY11Ym7rXES5Xcht1ZsPdNYkXH4dIEyLSnUXeFImlDfLrGbm9ICTrIdtlnSBPWSKhOaXR86QG
PVg6xPAaTdG3GbDZnYyfYq1cGTvZCZ5e2UV1Uh3LDiicLTBLOrzWg1oE1Q5vL+9dym3WgHGdY/Gi
uPy9hA9rOuzY7gO+GgOzvoWGdQjc9I9On9qjL25gdlkhOi9NoWpxL5NFTkp984vaT6aITXSl3oDe
qjdZc3Ro3V7Hyvd3l+zHHFrlG1aZ65vxCXTgN29ki6Nj4wGpGIpRI9yIpS+xrIF0Le6bd1OW43QU
fbeG2jTbu+MK9GLRhP/fzyOnyIPDRkHGILeCXTcm/dVRR1zmZFUWMk6zNlsRwVmbVtMNB0tPv91N
kzPu5q6nI0CF/ufdnNIeUdZWMV5461yvXpYMIslzv3kep0SkIamhUb91/bVPnubVadc3tXTWjuZu
YXXX2/WY5YJrW57j7n2s5wkIfCFzGnbZdtZSJPyK9n1bcacPCNheu0ntapzQflc1e3Susi1rsojs
8XHONWU5ZO2XtS5L7HB3d0TcWOVxAmx/18+GrK836xnu21mIHmiFRtZ+nSNr63levWI5UsE9AuQW
A1iJdZIUCA6CG9eeIstUnwDqaLe+KLZZ1/3qkv3okuWonaQ/Ym8Kz4pew1jRg+A542/9LghLLN4M
71E6wMkuW/U+tZ0TXuWsVEx1ItvbQFTZtUkdkuvz1FuB9ve5JQEN99NOeAiWzmPUguxBpLT/w0dZ
h5Pll1CPnH0jDJtnFGF+ptaj26rNu1aZ2edXNvDQ2rSfklaYQ0698ZwGKABiI268h1qjbj3gzoia
o9yv4SLBHbc8rcBuDye1DXwnfScR3xLYzSIIkH5bNR8qs9g2UyScqvNC4Fq9H8pQfHfcQicgrbM8
18f2QqC1vfRBDS/GRtwixVy6NzATauxfY6SotcN/BrEZlvZPORARZfJcR9M017VUMl93GDbQHP5Q
h8bwMYBsvK9q/MbDqbig9Rw8yCJ0BsJespoIPR9ZC0r7V41HAZFEp/pkQmDbREbaH8tqzN4rg9pc
EH0idVCk2XvVHeCC1i9lRFxHH4obSZD8QRZehS0GW+egxV23R8Nf/WYFRQvcRM2/I15wtLMgPIP1
wQgXfR2sLlku2KKQtbWv5wZ40fvdKujSospziVbllyxEbVcOk9jdNU6cv+ioQ9uB3r0vAxBLtfWO
Y6D0OUH7DKfgKluFDVkrV80nyDIAD7AUkvbO8+/aW31NPGHcLOesw5XsfNVGgWQTsNAgld6217WI
bL29ZvPQJ/xNBuesusFWjprzCOP9bqJsuiV/fr9qEn/Y5qERnEDWt8BignZ+ID2m7vyhqnZ96e7N
0kmecIQnzNxqBViV/KOb9PkLtgz5S2XjYJVYw9cR7Xb7Elh1tUVmF5o36mg/sAv6ZHugQpoY0ciN
oWm4e3m5BdEnBgddk4IRBZKZ0aasquaw5LwEnEJiKmSRVd18HMeIPxtyfRaqO07R5sNBikAN4pcn
a4DSwwYSQ/9otbN9imuWbQpPIB+IGLZpGRoIsiqLCMLmBUWE49ola0AAPufx7D1UNllMg//vgy7Y
BiFQeISxaKqi6edNuTF7C9mepDikdeGc+ftjtiDUl2XN72pySFFRHM2pwGNG6fNF70otiPQGMcj6
KFLjl6lP/1SMPsdGiVbdIO7pTKQuLCsugONj1RePsxD2RPqeVYkDF5EY3BQrf6UsffZ15sIya6xA
v+RzqV+SdvpVc3zTRAb7d7saRwsZky+K6lTomLW8AV9gV2TbVX9mVVlc7geRtahLXkZSX5eqPMRv
zFsYJBYiLVg4KKGhbE1ews7r865BtXkMb+Aj0mEDCK9hSw3HS858NU5mJCTh0toExXpkchsytpnv
kugSpwwGVClYNkOlWLT5yL4/5GLlJ4ss+iaF+2bRvcyQ/V6SVYCExbzKUJOHFmZPC0ZD9lhVC9QS
KSK+VZSwsb8AT2Lb1Z4bGB8IeK6jH3Tn2CrreWMKDTk96Oujnqj9ZhRJQdcNBzBS5XMBapZnUOw+
zZlOINxxlC+BzCnaQwYgyrCfVZTAnAnI4OQZ6bkZ3PpdJwrTA47uQWhqUatGA/io59xfMBC1eJxU
3sbTkm7hjUnyWI6oe6SyjZX9jvaJZ1r2Dj5EeZ2q/vNidAWSg8xtWZxG9mVocB2R8Jw+R4HSHDOs
Zk797PRAF5NiS/66ueIn1FznhWtMpPoQuuOX1C+JWokiCXATWZumP3c7GdQuBoRsxx5XjgB/Ja8m
VmkJfyXZ7IaQlBxb/q0ckH1ytNRRWQLr723Q4LAQiYbGsbHwFDokjm88aghb78KyBq8ucJC6KGTN
w8ZjMxlhs8eA0X3AJo8YbU4miUQ9LnGA4F/C+KoZQfPegyv23iuIzhmDj2md6BtKr74pLiJsTgP2
SnSBkEA8dkyf/vMTkUfe//VE9GBumBZYUMP1VPvuiYgfW21bZtp+hNC4jxCZuTh561z0OvlVa9TY
QD5DtN+upgHY6k1btdEBQszPMAoSoVyAr3HGctDFpmHYyE4/0+NbKO9kkaC9Kplj7GXn1CBuElTW
F3tOa2MXfKrAez0aRJIMdEj41j0sKZPAuvLZV6c164WcjIqLm/eOSPkvUSmpLBXM3kD+tz/f9XdC
lWoVoJJzZd9S+61MtfalDbaMJVu7s7TD0H1+KVONFqRspiEkb8QqkKEAMIzv7kMp2BEHdei6h1CI
vWaIuT0YRmMlN4IXxKLteSOVnaXGc+64e25c/dly3PmYBAgfinsaj8hfRdvj38CGpd1OgtEUj9H0
5CHFyQpXRL3+bpo9Js4GDoT9JiJS/LmZjhYP33Azjz6uXln4J3eWdGMqGQH8aqj2qYX2RutFX8B5
NxduFyFeLKLZYkfnZ8HGmJJkZ4Sq/tEcKhhtHolOom8/jKKyNwiqTMcqdo0nPdUJdfhu9NFlAbMB
jUhSUvWCg93F7kUWbQ0ruhaFYcbEl9b2OixrvdU+KJbOmuifx7o4uuHqJDojofF7NyxPLU8qB2St
GvwPlYGad+cPmElMwxNBGeCMWXCeBwggmwpOTBl2mDLMZUV0V0EkYkbcOAotoOciy/evqT5NxK7k
aJOgyGOM+rkckmTYdH6RXPK0OeJATYjKDnEEEkZBnTvEpNESczqhVPk0Cq8xWSRi1cOjFAnD332y
1otml/CfmO1BeLXaJ7LIBxhc00VYol5kbS3WPlMtLEDhtZf+xCkYGpZOSIYMExdai0GcPkPfEQIu
Skp3A2tT1uTkV313J5TDU4VpSN3Vh3Xeepgrlnpvnkq8qnWeKTjipeKNu1CQB7PS0I6eXbyTVEJZ
yP61SY4t22FnHeyjBurDqCTWTiKM7TTLEcDFCsp03DP2CfPZgmt77ELleSDs9eCMafyQt2aMnRjN
mMwVj1bRXqr6CMjEYw2qRG7XbOR0ObPLS9qyKqevI06KBVWEkZ1aVLeqxnmytBCihz9oY2ZlBChL
8Y/dt3akCOXc71m/FxoEcazmVyk4IAs3bni06Jq6nYSjR9gE/i7lr7uX2B63iYlT1wm0BXA/iOVV
C+7HQZnQEA+cuLZ3TtiiiKsIJiP6eT+Nae6PEh4mQWGFWydkJPC1FYCytf++qXzjZ1Y9aDz1MJ4W
SLIW30RV9QPgbEMD+ydpb2pjN7egRy1FzQuUQEUTdfnm5o+4BRutme4xIYZGMqOM4QrFxaofcbor
wg5r3C8wxomcicKux+OId8CzbLHCjDcVtKLTlLdnC61njPJ6tzpUXv5d89X46vp/2/3dNaGvkiCa
XXvbCUMQtH1QiSvb4ghDH7tO+Gnbea7Nna95qCsbEUKViyptmZu40oKm3LlsIA9qAJy2rtRxX5Ff
f1BR7yF5Y3nQcec+e0SP63lEXO2nTsQN9MclAtV/8nHExKo0JER36BHy3K0AK5lNBZbsHYtu/mB3
eJMnEM+usrCI1l657b9uuhaWlN48KRvsbZonba74MRoXN9fTXxKciYfLVxy523YKXFDWjXMrJ+Td
XG5ecMYx44W4mptG+JAQ5/4cVOVhDgf9PXaN8UuWtw+FWU/ou/PjUQVqMyvV/NKhzYnGhnBRqcYP
QaKZj9GIXs40dqfGaF0UUwILyfMh3iVa2ZGtjEttOwTwzX1DczZ+HPTKe0hPNxMdAshp6GmcSrzL
WD7qcO/4sM8OBgkfo6zFrM2dv5ud0W9hCemBh1luo+goJ2nqg6USsJZ8xjTmYVXbeNf9Jkbi+Nhe
LHD7Dp7BEPDFbz3L/Pryv6yN7oMFmgrbjUCBSzZABwpms3T68/tLhPH4f/+X9n+mLAuyqfD0DyFc
LoI3LvjdoxRtN0pw4+zfkXTHsUs/Ajv4MItnvuy6n0LEGMi+mNy0MbTyWWU3LppFGnKaUMmasxJK
Syppu6L6+osuyCiO4Kb0PfI/GxtO8QXLCbAO+uNoR+3WDyt1L5vIdQMR0A23vpVhspF9soA7xkBT
gpLVwRDCQ7DK83/+kIDfC4fCIsVfNj//+O//Ml2saCxdNT1yTCxrbd3758fEPSFBXLoy3yEhShi6
aZRk05CBveCpDO5kqTdmiWn1UkeyINik8Kn2vKl03irgkCvIVAPSf03adQBers3kR2cUhKxr2Fnm
1U8Gc6nd9fWWjaogsCyUTP6evB5x1yeb66nkvEYf1AOf5/e7/vXQdWDtk4cqLa8MNzx0JLE3ll1r
/9qUtbcu/ep07QC3tgcD9L+/ibcuMZhooYSFHezla1qvvZ7vX9+FHIgRlN/3MyC79Vg5sJ5gHXjr
GlOP1w0Gm5e3rvNWnzzd3SVU9y94jerl7gJyqnwh64nWvvVEaMN/xyoN9djfn+LdBeRcWbx1CbQz
ta1DjmX71nXe6luvLS8JcGw6INX8x13/etl/vbY8vuzs4WKhCSOn3b2Luz7ZfOvtOWl4yfpkOt29
RXm6//wm5DmdkkdCrvrRfr3EW9e+O/06JZpSn8wV8tmybx34zxdf324CreME5WT5w791nbf67t5f
r37HzMG43HWvV5Gv660PUA70SvatSEg5ru9B1u6uvJ5ufXNLX9zM2yAJLRjJf9+/1sn/2ienyFMV
2AIcQi/+U85d+2Vz7VvPdNcXaDwkQyhgb73Fu3exHrq+C9lXuZh9Qcg//etl3jq7nCwvAfWK5SPO
1ctvaR2QtbW4e3vrB5VgObpDOxztOfEEWAfksW/13V0Dp4zy1NrWq0PX97ie7q2+9RKd88lEGPWy
vuD/1w9QXqGY668W64vDW1dZ++QjT0V0bJoqlnEozUz+Zs60rZ3Y/aOjVODERTEFk7MxUdFF5oim
HNBiBcqIjnphZSnaMk+zWaP7VbpMW/vJOT+G/RQ+gDczfYiR6HeM0M4P6xS1GKxT1mk1qKzOwmcR
GYMn/CCXlrysFmd/YRJt/+rLhwahVYSMdutZEqIvl3zoPskDlmP7DNc+rHYfZZ+cqzQocSjZ6B7X
Q8mss4gOWxbcsKPeyYGiw6/QQ+1zfduyZswOcdU+f1inlqlib1XVSJf3JAesAsPiVHcQ8BMfmzyl
OSKpacOYl5+E7EJg5wdRwOCyvphw4AeM3gbprt9fgqmH+gUE7Jf1onKwbHTI+fhir/0FSxQcPLIQ
qVi+GzlQ14GO3mDXb+VR8jusFAfwKt7H65Vlf1SZ19oKWGrKVxnjg7wtMHc7rK9mNlg7APhD9un3
x4X8xPhklZ/XH448b+Tpf8QRnrFrf6uzcBid1N4t3xFBd5Yj+fxVHrD0CZp+wGobHZTfvy8Sihuf
oDWZQfEjSTEfP/hTg/7i7w/YiHvkMS33169EHtyUJgk3LAPWV9B4vrr1c8z51o+ji7vq1NfolCyv
oHPS6sn1/lo+Bfk+M9/7lkB+FZLev/4c+F97u8SyveW7khfstKQmvZB+lxdcjs/8n6z8hKzL32+H
vypbodarTutnWER9e2jNRlv+VnKgQHT5YSJEur5L2Q/J+OwiIPqwntJS/BG8AaGbda5paunJNoGU
rvMctBSeYqw81ivLAwar/ormw3hZ+2P4+zsbbvVeHi4HyLzBtU3dP+RB66daRJ80dZqW97icwtb6
TaDAtltfEDCk8gA3y9z++mTjhM3h7LDLFt/qMjGxTyUpktsyBft4Nm2zqh/Wi6EpF5y6DBu19VUY
1eQ+doJ8/fsHIV9Ga5uf0ZzXl49QngNDJkgZVpku70sewN5MOfe9+kO2lkun7SPIJOtpPSP26C2b
Hx5S64vJayxHDOTOX90+UBjPHrC7uslD17lN5R59hMNf9YcVsFs3wylw/Y6wtMPWVxmsV29mLAIh
LJ9t5dmWF9hN+ScExL1X9w8LzA1hHEzn1u+xnmt0Lobur+Wdyo8660+qMQTL3VueMoDyQkowt1/d
OmLgaQfyfP6rvxnRdpTvouxRvt7lhZjou+L52N3W9+DYLQLtfqMc8ia1/U2dBMYRTW3nHz88/OMG
zXj1i5cngLj2gd0fhMzfN7F0DuGJmlaDfvjfd1R0q7RzWVTIxv7+Z8ka2LbZNPLlvivnT0UObc6H
/ymbS+FhvRKSe9mtH1UPn/aKRMzr37E4d2qXhyGsVchB4oeaGGq2zSIlfvVYxDZqgvgz+5vlMzGy
BoV/KF7yYkufm1fve2xCofH9fRNRFLPe8UQaXn1hWav3595MkCkU85Zj8z/0IeiXR/BySmhALJ6N
5Cyby5dYocehtWzC14+knEzsMax5+a7Xj1Tvp31Clmb5Mcpz6Bna1l4Ulq+e4wOh06M3IzogryDn
zWMVIpzq7kKvLjFbSP1nrSPCvX6QDhGqXVQN6qt7RxVG1TnAHWmzHCZfynI/l711hpG5PL8cqQYX
kRMDXMfyoVez0V2H2H1eryIkFDetpb4UmdrMezLB2YUlpDdtlyom1/ETfuX5pRCF7BxDYIon2blU
5VCkJFUmUsnZZexrB8yOPOr+tFll27/GgvUIOTez89D6U55Mtqcy/W506vhghy5KNf6sE5OK689k
iAcoGciwpH5RfQZVcJvS0X12VfSLfC/cu6VefcZ/bXzglZgoh8zdUcftFQeDZqh3HenOrdHV024w
Mr99VLw4PoQDa43/4ezMluNUoij7RUSQzLxCzZNGS5ZeCFu2GZJ5hq/vBXJf3b7d0R3RL0RlgmRJ
roLMc/ZeG1T3t740+pNjmvKB4oZ8cPPWt9MxvBNpmn5ORSpLGHAhFzMnETa3ld5nL6qo1BxJGDX7
JtiXFhLFPb3bGwRDs3909b1exRILZaJuVVdW5z7sqnO7HNbh/+cc8WHRBie2Zu3VIJ02jplsw8Xj
SKd/DL4tvkdywJJDiseQ9BtXntdX68GBwPPfuf9cZ7T1oxAasOUqPAb8GeRrqhjUaGHZ67VpoNhI
U/VYkxm9r6T6suojpn9EEl9yiSbMHS+hay8mXT6NRT37qqY5++GoD5N6WUF/0rCSratTO1WVtrjq
sVxEw2CW9UkPttLosqMhg5d6wE6vmK4FywpAxMqFWIdjpGXHtLNJA1rVIWaDNRVuHCJxTEFgGRrz
ebDC7M7o7TtHpNYzOo3fiu5qNOnJ9Y6C+Zdu6+bRpjQGzVNzfyLC2VVzJ99mBATqQBBXGr/GkIvP
iREW+0xglEFH44TDRjZFdIHdSRp0B3BZMcboonZ9m2wcRf/+14nukGUwL4cih3qZV79qk5QYVXEH
ioaZNmd7DbRjfX7sxBIoyHqgn7d2G2a3Rqq4hwim8FTi5S554pgviBGupKKXix1Xu5OZ2PHH7DyH
fIxLhZb0Xg31t1QGZ9tFwh4FLaCaKLW3aW90W/LMGE7tdBc71oHKe/eo5beijRNCszh0gyiP81g/
uip5smZqxJ/z66tQYARvd4loUbmv/KWmA0X5hUZZSSnmZF8cp3lFgjujUC7eIXdk168DgSr/Hur8
DICYonynr1a29cK2irddDypzDfS2KvlojHilUC64n/HeQ2+451qh27iEfSeu+UsJZtc6BVquQXQS
B9HE3Tetz61HFBz+OjLQgjwL9VYZrcmSryECDZWwMbkPSq46p0HtHcjlIZHbTY/4V+X/4a1FYVKk
rflD6BbRN27WQdcK9H2iDk9YG5EXWDP19+AxUTT7rLvBhruW8qLOeUdwMZX0ddiGUeoJk5pNP9XQ
CFJnhw0/f1R5Oz2Wo9XuC6ujFLHMmaHIH0OzxBYaBpEvjFQ5kNpKE8M3t9KHQyXO7YJSwZpp1bt4
Qaus49nU/8b3YcJTNvjOw71T1P05o8zDT00oUBODTaf7jck3agp3N9Tdb4KusRsqgBVwvP6ctezc
tRk9l767cQ8AY1bmYqMSafm7rYxntdWfjKr+FpdOetFVisAzmY0kmfTNY9aQhFmjJ/lh48pzOl35
NhD956VhoLxAa5y8Bmwd/HuG1OwPkdRqbwi0+6gK+4dCB7CULIlK5NrwRWooH6OiybhXGe5mmqT5
Q9N/S8WpNp+xe2NjyQ3vYjyda6c3SUperp5PkQLbJ9uk2axnomk0EXRo9MEkKVyLd7tygA2UpTuB
hnP1Vy0qYePPzVOU78UUh1sCWcRjI4X6WEGLmLvaveOvaJ3auHLZ2GH0Rpf424ntjzEu7W+T0+tb
NDoI32vReGaUtU81XZcRSdUPvADwZIsCQi+S0JNrUQbgz58/2wCWvdjkn06sCbmQ7n6nosBOl04R
ABmn98tOONs4rUHoJAiFOhih59qC6b5Aw+C59wRAC8Iq6XHS4Esc2M9Dv11z3VLyUbxQ0wPWG2Pw
hNHxuM43g0kuJx2rw6ocKKrmm06u7t0/owA81J3mAvpj2fF5Tmsjd1cJpPM40oubVljTbqiWcnbX
lVu1F4MPQX26fR0MVLPESg4F9ZQQHzp5MUHVFizxtN9kq9nbvqvIn46NsdtGFYkVDeicjUGk5Bng
Od516bl1mhfIaeC0JKWNOD9eMC7rOJjG6Exyc/H3vBwJ5ywzVIirmS1ZHG2wzn5kGYKibpGIt4uW
nDBKpHoNtVue/dPnCdrK/blxVawS62l71YJ/Xf6vU/OADC4DZwsq7bUbwGNpGn3FqJH9U9ClgMYc
CgvqVCPjVVlr4H+szwlh7edElc35a7i+Gpaz//e5aEzCLZyu3lsvboYF0mroP6IY6TQNvOR7rwEw
Caym289RGX8Xwfw+WLg3NBSaxM0600fgTso1jHXtKpzw2xfkZeW7KJht9toQkV+02BtWU8N6Yh3+
52yVasXt67r1rE5jyfs6MZv8L7CdpMcp7hR0Vx3RCFd1GVHBEndmE+kX+lu7MnBgza5zJavXg4zU
wguKnMn1ap6PeCyk0Ww+r1kvL8Nx9lJNGfef11TLwtkELh4g2iK/SN/LJupeiTTKgYPY8rYOI3Pv
ilG8gEev71iVfayznS7nQ19VlCCMrnudwT/5cTtEp/Ws5c73OMTKh6yK22enHTaIkp+VKG2v8+J9
mRRcF+aw/NmXYStq7aG0H9YBaR6FFkW3AmiOvGchHWyKeSLwltT1zaTU9fsoCMDU+uIeq3zojeos
bhi7xQ2yerYZ+4HI+So6pIVzCwFBvhg427dFmGItWUg/uk3uiyhboI/L2XAiQVmZY7jUeXEa0g71
uxGqHyisWQZH2Us5/oqVKNmUY9B8d9TxuU7G6U/A3yjv8/aXjBOk1EFrPAs9mNHhygh7iGWcogwb
U+p29kMRVQjXtdF6nwfiFvXM3A19Tnli5P+nzDPtKNwueDXc9NSSsveEYiF9oBGPksAJXh0oY4dR
t0sCiblqMHqFvqLagUZj2DdnTfLAdBXY5YbTdJ4KX+2W9+VHmMQ8mURztE0tkH6rauEeubDjr5pg
p8NcAyVhAs3datu4a20fePJse0XTOnehOv4Mk2o+rqP1gEIO3oURQ1JkyfA1j/iLTGpKIm7jeH1q
y3SfGmp1hTXQX6L2ftBplRh6hiQ4D9UnrQm6k6oqA8rOfH6qgE88qVhZKazN9+uUUsOYU/pp2PHY
LDwWpNTml/T1NRrdmEI/pG97XUdWVqvHiL/OnojgXK/sh3Q5xEoRnPGxfjOSR33oNv0QJ49G1i2q
AJ4ekn8BIhZz1jJnxRIQL2L9wzqny46UYROjYkuWK6muwfimg+3kXV1/K9tEIY2aO28m7pvmmbey
cTfPqX0f165zEAZkxnQI4l3TtcNbmmh+nvX9z2kyybsQvbVlF/VHQYFver25GOAE/l4iJMnfWcfF
AJAaTrvcEijd+LwNS2Q7YRdfAm3Mxp2imt9ys6v3AX4W9UiWyRKAhE9s0LuKd6KVkfSW2srn16Sd
G+/knBOJtmTkrodpWZB/DW0yxS/VAP1BKFCvvk7857p1Hf81Z6Nh9KWs/37F14n/XPf1/Tq7//sV
Y9fN29zU5MkmOespd3H9a834io2sOjfpXPs4YcbXAk/9FvC2u1+HZIJE2ET4uPBwbC+xLt46En3O
a/5JOUz1A0kWb3nU8WhbRmtUyjLVLFetUSnr/PKF6xRpeskVXM9BYf17WQ+xnVkX7CntBUv1OuP+
c87BYnPSlHb2TYW4rITb2i4o49pXA6e8NJW7fDKM7EeQtYD5Yv1bXfDha7Qw2FoqNxLy5BGLNISz
dZE+3w/LIS3V7BgINfW6uuoDz7br+d4KH00rnu/WK9Zr494yuckg70pCtQu8KHXGfbnYZgKd9HDZ
Rcj+7fB5thMi0hzrgZpu+KxrJfuMpCHdo8agZxDDckDoviB6s/F3l4rXWEYzbIIReX8fGwc5jilf
EQCYGywg9it3ZD0batrBmchj6WK78pvcqB/UOoaCJOGt52ZTP/QD4ZeKnPLdiEjtEDdFs01nTX91
myLzy5r77TrsYqySrdeOYYLqDZ5MLi3qMllh760lebpfNU2sh89mVOwoTxbAT5kHhREdi8jMsk2U
KoFvtMOt6OLkbozn1mermn1wU8RgYyjvppTBhsL3tA0M989q/vv0Abqu+c6nuNwDBhlAGJglrI0F
PY94dWtKtv7jpPw2rDjbjzWRsBMBFQ24yCm+rAdz0dRBwbgadVEfdKXibCGd+FIth39dR33oQNbM
mbxx1GNSK/w0iCP8zQzXOQH/5roe1rkMSvO+iUjL66BNLmHvdfN5er0GFJR+UYkG+Wc6ngD3eV/f
JYqTN9HM4WH9dpMa/YhZ9+9X3tp6WPFr8BHGnTuxzvvPia/h+mponAsxyzX/IBZk3prF9Qvfts7F
y3dSlu/0nxMiEqzhDEvlWTNqOwLPMR6sCK/loHQFt86Z8IfG7fYE0+R8yjMeuZEQH5FW74YhyYHx
k09PFLX6e26KNzMN3O/cKAgtC8z4CV2nCkM282Wlz0dZTuSLJOJhJfTE+hKIrhrjeZ1v4vkBKNf0
PlsEz6/zuqX3WD/zHv2wNVqHIbbVR51N7xES/aJuZDjpU7+rQJycoCMnOz0z5i2kEYJPeg2Bb0Gf
cqoPPCRg63cg81aUkT0SuyzmLj61cjI2oxrL29zacqfDQEjNfLqntEAqiu0eY24891WlHoOhnA4t
RYwnGjznYgGIqvUQH7K24TmxhEtTo469xcw6akNwqYpauQtH9iUr9ikfIfM1SpZcMvSfT+ZUb7P6
Z5lbpkAruXBLetHd7JyMximy3qkBdrev+XVI+1Nu0dvhgFvOzsuh61O+gWBXQdZ4MO3WyfX0evj8
phTgzCwlamf5iq/5RirvCunlhyg4RW5X3eIoIOtufVnNLqHi7ridlsTgYTms8+sQ0laAJtn9nF+n
1pPrZULwaRtF9bFOrYcUHejfLy+ly9NtJkZHPJdl0/5OG1wV4xz8bEqivqlRED6I0jAxBN7PqUh+
xrmEMeW0v2fH/gF7J3tJ0tDxgN2o55gNx2098MAsdrpru3hrCDHyvs40I3p5vZrtvTMUzw7gvQdQ
W/ZGn3nP6Nxnn3LNeZ6GTv5obWISx2kcr2TbIXbFlEjcLNcSAB1uQ0VPFH+lz5Q4NbVAZM92mACw
a6b8XY2GR2nrYKtaMgVs7FcVdbZt40jsPgORBP5QDsjqRVQiJW2aB6etvV6OIUXouQ+PpSRqJlrS
mz71pU6tvwcK6/mS7shVUeuA7UCxkXANr+sUVmEbBlilTogcg36HQ8DZdRrtmS/Y6fpqBsFyLQ9V
yKJrnSiWV2EABsic0miTjgnYx2lW4RYZgEFIGnYqt750IaxzIVhkBhRJLqWrLNuAhKSVNswvTprw
10GmmCFedm25SSO/GRXD7+y5upDTSQheGv8p0zj60aZVgOhv0G+WqhV3VUBU7XqC6OqEhHGTB5Td
v5gQ0LzMIL0J100R3cAURLcxrAh+FPMlJheIUe36chT5Xx8T4A4M9jor6co1k0ehOe6tHCloLiPd
NGpP9oZ2iaZsCbMvHtTImZ4oKu2npNRfCTXWT/GsvY4wzgoIWOwb0skvgznkb8zBasy82UQyl7ui
1B9mg/uaaXQmdRIn2Ka5Vlw1vRRHQU8QAzpdxMOkY1ou5Dx6602uKnTVMyn43TVGO94RxjAu6MHp
fT2RuXV+F4jliTPwi5S10xGz515pk8xn9uo9+JBUHEAdOUdhIz3ZtFMkNwqYd3+lhcZ9Hu0aDbQ3
wQbWJswa50Ft1X+/coTrXiCK8DtAejQf2Zae2jwJHolwdiC/Bbf1bxF2+UCQlYLBSkhvat2XudDG
na6XTcejnI3KwSquvMurvYgMsLrka9ycpB/oIdXDqzq0312tav4o/Y8pGVSvj+fyQA5OcftcxVQR
GupQRUJfT/mBlKNhD/XtcWAdG5GffK0FmbypiO17ou+cHRsTHCZua9+vc4WT/YjL5EHLqvx+hL57
X4hk2y8GtBCd7rFIR/EMw7LdQfkBKz2TOY9YOfAq3X3WegyG4VS8q33c3tZRzChnx/05grFKrTvd
4UOlfZHHQ3ZLex7iAJOQZwd8JlfIZhS3G8Utx3NC0NRXHfiTrQ1H5fbPfESHZgf3sSe8sVLuSMfe
wFeF5FoI5W6dovfbHTDz8XDPwvB+nfs8gOXhySa0/ZIJGbcZOGpLPBCMKn3d7e29rXbiITdS7cF0
RuoRyBxP6yXrIQcC17alsexyqVgN5sf6UVgPRUujjXtNsBniF0UR1nddA+pdKfp8a4fYgBGvat/7
QPIo0af3liB1VLCPZhnKO20xmkYW7BprjFued8w1dd+RbC9cDB61SvZEYJ9FkGGCLaofiQy1LTWC
AMU9QdwjlizYV314jpSeuwppKyKb76nnbkEnmk/1cuCJTTkaVhOFL7TcrYlvf81mGo1OvajsemSW
KpsJ1up2JWIExASLbPTHmXphos46bOPUfm7SxDxl5Gx7Y1wbcOuCaG+qff2g/Cli4hMcyyZkfRw/
1sKf0Tbh7Z+R9T9Hqo6zrpt6h8JxoJxdHD9fuYWl2QMO5VF6tVqV3Sn26aNFzsRWozd86ZH5XWQ9
y21p8xuo/FjuKBC0O/kuiMLgrleKYUsYQP7g2MR7T9iqvWDQf7UZDY6kHfILxKKJAkdGqCKBsXcV
ubiidp6mVnVPqMvrw1yTCTXU7mmdEnkEMS/K37BVx8UsXi2sKR5ckqkBD4I6xO7sYxeo0Rv7Ztec
su/hNLng2GS8iTVp7+DrK3uKniz27dm5o5Hi3OpsNP7exZYTWVA4d4r7v5ywo4joGDjNd8TKOTfZ
4UnmvjV5mbRfWmjKl8HsoM/y/MU6KwU3zTkimDugQbQBm15s5zzcxK2B+MXUv2VAnbduOdfbIi2C
+7rQ5j1xEKG/JpyuBxZZ/blw5VOR8hlpl2JAMQHk0JJM2Y3UsR765RACRyEJI29OnT6bDyuJP7KG
3eBGAoX0uOmG2jjjN8ZivhxU26WPzvphu54I2zCpvfVlp2RBuIG3e4L97xxkpjiCO7WONbsyPIwx
Kc5nQAgLb2yJsbUCnDSDwXuxDHp8cVMGRRfLxGva73pVi7/3FgEg0rGyXe6mgD/bBTZsW/PTDEX6
5OameV4P2tyPJ1mQbdBQ2sAWslhHBG3fXa2WOWA448HQMvsXFTZM5oPnDMSStLVOaTlW2mPqRBh5
ZJWy4MiSCMpqFQ7Pej68E5LVwc+Gihw61iYatPm6HqYFmfI1hOlaYoEtv6v/6/zXZXbqmNuUXSY3
Gr5JSzIs3SObxoFVavvZyii+y+Wvk/G46qkewLjgLzSOYPs8GVDMkl0MZ43SJgHn9RUfW70klxQ+
qElooNNUX4ueompiReyz1mtcPSz3TaiFn0MeUm66bwpnHxEtvCjG63jfyjTcuhjnDqraZnhICYEM
KcXxfKStuR4gL5Yge4qHdVRHZb/pigRHuWwhs0YZ/vGw1zd2A+MK/yLg7K5VHwOIRl4zVNkHGp0b
MMD5JSOiaLf0No+iQmKAPfrvFUkW/OsK1INAeWUori5KrWPXh8ZzXwoMiqJXAG8z1BSCGYy6lfvS
nck0skAIdHDPNuuwz4LkUidUMivWMJu0mscNAZJZ7ZkLd1XPrGtFE1thl35ceaOhbPpLnE7f47VQ
YGNh/qTwDHMOUNAdyFzP1IsGN3XbBrb8lickihhqa5KM3CR+ydvtlg1peNVqjbKFpmIgrMVtnU9E
OJKchVP72RC6trMUFaY5Zfi7EO64H2fluI2XIXtofUtfrPCJiGmulGEwY8VA84J+kWwsQxsA1+h9
vhxmZcfvc12bQhrJU3bpute1T0TRVDuEQTbto9DGtCXdmQdKFJw/h1av6jetuZtsKB6zNt6tDw6c
9LTFFEqA6yOE25N6WU84FQTmqGzLazOCc1i91GXYog513fE+aJzkrra6P60ZN3/cN2iCyR8lc7CZ
F8L4Vlc50lJSG52actGSLzDxsIGjubxcD42GBENM/TnVZlJooujYYZUcHwS71a07mhBPkKv2xFXy
A33SdZcMwnWohml5HM3uukYkrWFJZu86fsAtarcOHZn70aQYT90ZR1f9kgVq+sh+7IDoanwh5iNd
QJKhN2C4P4RigpVLzTXBkfSjcDNYsHUi96pEtCsL7poK2TCb9QFsO6W8z8hGWUfrIeiVP7GmJpcq
iOztrLH+zm0jvK4HWZIkPIcS6tE/c+uJVMAxyqBqHQw5wgjsx8a318o29r/Q14TRHdbKdjlWNexp
Yis6QNosg2MLfQSPuo2lgios2/Y0mRK4y2c8s+2agCehL7LPN/dfcwPJARtH70Y/7HNS0ZZD3Qfx
We+Gfw8Tk/uNrTvzTi0pc21sDER0ZeNxmzuU1oHHBnzenKLfuBH1OPZ9BOkUfX5KTMOVVBAwEf2/
xp+X6jr1WZyJhsdi5DsdZAc6YDOQzsJB/efVOqxnehfe1+kxl8PJFOLv1V9DEvzCvxeup4OmVfad
HBfHmUlnmFQdW5vNfTqzDAyq6Y9F9tRWYpo0/HWuBaWSe+vLLlpAfOvLr4PRYyWu9cBvyvSlHZGN
0FjXNkNOxTwcJs8OpO7FbLpVI/aNQCIj6581bjV+VYqZRDp0clnJOtm2+5gSkPZoznm7qWKCNX6B
c1K8JiPzE53Agg3Dagaj56PoiZ7UbWyKQOi+8dD90yJrOdPp8Jx+OBWZXni1ubDheqRTGTT83LTd
jaU4u7HTNeLBFa/ohDgGLEI2+JuTXqJksR4Iugg2gWnsqpwlWFbvSjoNL1SGCTvMx03fNDAOR5In
Y9XwoQmXakH2Jn23ep6uhjVcwzqOyRntX9QPjXQsj5SszBsrE4ZyztqbPfNVqLKlJd8+jnmCr5mq
9wRUEjALoGJWttO2SQYg380r4u8BrkhxR5KPcRzo+YrS3VuDE2+gRpKAQpC7MDOH+nPtY/+KfadQ
X4sJRaNArkxj5Emh6bBFD0aObOG+GWV7DS2gwmkB1TyluC/ZE3rY588zlYGsL06TnvqZwweuspT+
UFTj95jSLaHMYB+rCekLsLkhyrdDR7pk3EV4/6f6RzzKY1m2F/gt4T2BxpsEVf7eLmL0Bmp5tQv7
YMdGRQcKzYsxq2Sd6/fcZVzfyLRoz/p9l5d8hTUE+2DQDN/UjJ+G2wu0adD1K7i+7jSij6yDbN/Y
6jPrCHoeDfej0pXv3dS9zan53hBftjHrrPPtRj90ufKTkAzftazan2J4402VbFKdPGJhRLdY2Cxs
S0qygoJBWMFbjibwnUA6SsNg8Wryf4vT9KkreBtbtlvsKNqUTmXsYsc84Qtob1Y1slAny6YZLK8q
234zwgGnzQRVHnq7k0DfCwDsq1V5DUxVPbkLUjpz2aaB0RGj4+YHpSSFL16j9rQli+/zZfuZ0Of0
nbpdr1gPn7Pry7xtKZSuL2lWAkZYXw4DqP/z+jL8+toCsR0WxeUf+tc/sb7Uv36Gf33zz59BqcOf
jaXr2z6S+onYro9ikMM2DoEMjE3778M6F5vyf5tLbBNtz3rm6+s+J/v/w7dYv22j9+6xrjbzVKjq
GWMv+eEzqCtHiQR0A3+kpQWiJ6MemoJ5EGNdnngEj6WUBKgPgL/klPkW2bIsK4mb1dXu2BAcfJLE
OcomP+lCPea9UW50hU1FX5HN2wYOEjFoN2OhihPCiEO0/DaC3oCnkjK3HRAbH1P1h4hYx7OB/WG0
iBY1czJ3td3ejUbtHiM2u0OBb74OgttcJfLMJ+476eWSIlUBpYD4gQ0rsAN9/7Mm2NXoPOALuCl9
YDZ+hmH2NEX2vtAJwp3CN/SiqPDaRjkSS+I5CXIYOaB0bqBWAjbCVhAsEggrjntKXrObQ0LUE9q+
L6F8QMSVXEtlPFCCcjZpQDdpYNMIP2LyWO0MXk1CJrx9WpG6VZGugplXM+5ClnVh9xg7FQ1V5SMt
SVc2w0NSwnOu4zMJygJ0Oou1Xkdub2ix2KpoexXSBbK+ewBS/twryn7Q4j99Zf6SQwrGKgQZrpk1
7g9X29qVfYP1VmwDFzLNwqVpgzddDPrZmGpEV+4A16K6GQWO7IYl6SY0jq6Av1SMCCrbFIeFAGTj
WeW818fmJ3IPIgl7lhRVk/0RsWFsU/Al2gBTtY4hfyX9rhi4iy2tB6swEsRT0y423G+xKe4LNCml
Au8RZMF9u+wkCLMwt3NKJ312s7e6mlPftEmsi2vAiwk+X0UoL4pGoopEtW+n1NhE8240eb0j+H2L
9d/2R/ZT6HvYeMAzcw9dVz1mBXfVrCfaWrTld2mxplfJJHCqPvVbRxn8kNRhjOMIr9zSN57UaAYF
qxn3dp2kR50u8zVM+C26JESb4KSb3HCQ6VELG5YWy9K09BsWVtgFrJW3gXlIGeGxR+QrW1S0s7LT
dk1UNQ8UZK55O9RbloxKv2zoidxGssUtMleKM3XqX1ShCfeAzNY46SlO5WHdK1JhT0aHAkHaboNg
/oM2QG5ZD3ajhdRhmM4BgbsUaqnRJmkSHqMCuUOLLC1y9lZUmpswil8poBNhNJ66tFM3wwDhpa2c
nVmQJRVLq95GIj4HwoTkP4yCdELFEz236aUQugUxEPls+ZJKhccFPJSwgfkACzYm4Sc6s6Ss98g+
/xDtQtPZHY7k5sWHYhQRlfM8JSdjOguNe28jo3tkvdqe/YPhRQ1LDlPJX+kmmLvE0IDWGsVRju6T
Q29+bykQexSLsG1Cs3gz2e9xpfhd4o7nPqfRE9M/6Ci6V73cZ+pYnuEc6IaR3nWJWVNnTzTUjsAl
Tfkh0oKI3ybL/YBkn1KxHqleOyTG1NTxi/Q+dL8lnVvhzjEDwlYMa5dr5cXO6XCh8yUtRmrxeSzs
m4IIeGv1YYxMPqlY3spNKC3My+nw5mqldbQyWu5nFkfZzkHByNuxuyswle0mAo39po14TLI65AfV
LnrLnh8Hz9Xu4M+RarxI5p7NsUo3LUtrrwg71jIRd2LRNsc4Vv6EYPJPbmbduciioBWzuaEgOHqz
ar1JCAyFNoBTuZq6bdKBsr8na+v9oyH0os51e9uSuAF5193SOEm9Vi3f9aOF4XQD8sfx4nw+lGNP
8cTgLtdRE7MkCguHzSN368wZC27y3YnIDvuA4vpFZoA6Is15pzJ5FxF/eytuowsrcCauiGXKpjaq
l4zuBaDGnqqNivYK5JKSjOnGLunMBxrm8XTmNhvK+LERhBZU2aKPRu7nzZMh/DCgISgbzRdqu9WM
TN1a0vgZ91m+JfJs9OccqJwb1QMtehgCfdEme9lS+cxFqngutgWntvZzTNiL3apvUZWfR0I6vI59
8raWs2dpuXHpChK1DDqbSBXzCeOturdb0Dt5nM0w0FjSyhBcBCaAQ2kbFzJH6NcrzRsZVKepMRVP
69yMbAPAMQ25G6WKBtbRy1tb1cbWgLrME4SYd83lYxQod/FMv74t847qKDAr+u3s9RPfqoJ5X9Rd
7PcseKH1nxLUk4ewL+BEC+rssdUNmwSIYJTNk6eE9qGwg4dQJSWkIy07CgVgHtW3OuCOWchCylFD
ImNZAxGgwJ4Lip5y6lozYs/Pus5tzLfQLG50gjp0mnDHa+ub6bTZzujjAtVL9CdkH30GEUOoaQwV
uKraA5LJE+iK38ZowzaWNJXpd/ysovbSZ8Yf6gjuETfnSeHh5M3QP09DDphVyB3GhV9dBS2FOqRf
5d0STFXdFzSVN43SWkibnXsCrseKBJpE9r6C4PSs7uesBkZX2+/kI0Iztvms5exK0pCN/CBdVouN
pXH/z27FBGAFYR1dfD5e7eBzk31LCnCp1tDtlm/nNwFYwth8arUu22lWfJc2Jo0oIS89hV8WYNhc
CDcnvulDm1jWjo7F+jngfzrC6VhxL9KnsPR1WmBsP++wyhQbzWmuc2/cJbm8WVm0jQZuxNBRD5nW
vpsqQHEqRL8mw66PiIw9qUDSHObIUwz9MFjxa1gOH61BDpF0x1PbuClL7J6dVKVV/Jz6a0mSamK2
PF4oRDST7GD/QoYXGbUaoK1nY1PoWuJTvWfnFdc/B0RER3PsfvSYREyW1j50Dcej6e2in07I7dGc
R0c6+jZWtHtZEeBqlr/qxtb3pBwUaP+J43QJkKG/GNa/qX5Hfrn4BoPB9UVnuidtbo60utRN7jbP
QYYcu41ajedIELEkWEy/NDtp2QYI8brc76rXYVR+ZTFGXfIkvdFJ47tE760D+0j+VAZuW7Shf6rM
qGBLEg5qckO5TOW8MehSzFoE7CrupE90Z3TJo2lHEGLliTCWfhYYCqtTC8YpDM2K5YiIi3t6Gh+N
EbwJIINUrMhRNUlQy6KKXaf1AFEVxFv5odWiu18PjVkHXp6gzUnI20ZNHmTNjiXiphTtXRj1zYYf
DZFCyCJHgI3qtPJWldV9lE5o62fsXjhvDrB/pm0ZVV6XdU9Gabxr4cybZm7hrY9PJtoZr5yrirda
JTbxqL876NLQCLjg2PhMJlrJXdoRzablwbNre5M1gfk2zS6/WGY9UL/eaRpqdin5rw/6KT30Tk+h
W/+OQuNtpBynKdVlruaPoYLea6XPs8VTtmp6/39wdFZLsiJbGH4iInC5RUpbql1uiLYNSeKa8PTz
1dyciDMx01aQudavEiQXb0727Ugoscb+cgmOpxQ3TRnCM6a6sjoUVJlEGrN16LfF3cZNJGwwyspV
kDsLkCvC1BC7xrITdNrKijff1BuyRumZjrRmJO3OQcXc6HUX421LEw3Ki6Zu/c+o9llWucmUdr+t
zoFeSCqqENb+NC4y+l5ar7oQXdTl+fdg0/rX2pTGSJSNSSt7IE5b7kx7OSnhFpgofV5PArVV+Tby
XoS9lnMI3DFSvfIq7ujNeb0yGNFi1sTS/3LKYXm9YpS0BUcFfpLjeCq98dmbLSOh3ylGO+RRQhOA
rFq3YyqhPTKag7Jqn0/ZGAeIl6OKcD1z1aYQSuMmJa/S1/ZF08YDtGeEzu+SMliEqdP/NXZJkgcz
FvR75AksWy4rv+Fo+X50kMAF1h9UaA64d/3rZM6D11+WGVFEm13q/HXc8vuiq/9QrQNy5LtiwbeF
mj+6yl0SB0gNWWFAAazYcc5NYWnLO70quFT1bNc0PRI+MnCMhl667shNq5+yEfIcyci+vqoGGHJc
TUTjlLexascdmhoyAbpxjBvNF1GxYs8gfYy5KzYCVyVUmw+JXvIg8QwluSiv4zRqD0XqkryO9quT
KGWiG6gkQvSUGK3JGB/MdUl3Yg6iEXhgp7L6rXVxeIzT0uH0vre50mi13nYGO0nowlMLDD9XhSUq
oiyRKymXXqhPG9GVwo69SYeAtcGPyry5OHlwO7qSQdpqi6iu7Xjwr9S8lbk8pG1PjtfBo6Otr9ZX
Uu3Sk146x5nnhftI2CHH0O2iK5ys7O+pckYUH8FpNuabQvoPHcVqvaZ+IcM2swbXNhBSOIUNGflQ
Dvj2KNCEi23Tx8xz/9kw2DvD7b/8ktiBJm143Wa8YcTxlnildddK7N7oDsFqv3g0L/VifS83JBje
Uh+XofhDktEnXt68LO4nSUsYuIYlkZo178xlevGDlkSu/OB3D2POpA6remlq97IR0jKOxKrBrUV2
UP9Tc/ORz2B1NEJCMJnTvb9Z/bk351spHRXbHDz80PcwOQ4JEMYt4y3m6rF5LZAdg1JULqTPkD2B
2HEaeOaDZ9lfzkjgcqPLo60EGN9VvGSaBNJt/lUN+GXiVsKMXe962w77wKsZ5tn1/ezb0yVwbcPs
vWwj2ezI3pfMeFqnJ3KizWiwNR9qJeUim+4s8Kp5a0C0RlQZnqklgftuz8CkukFdNWGUUO/8sFaG
4cxwCYRbHKcLgZfKBzLB2nW9I0ezoo18qeNGTnHRICZ1JWog275VYqGL26iNsMIpqUBSok5lX1s9
35kafiV8YWdDIoQvzW/V53jD0L2Pz3qWviCcDTPVCnArJ4/RqD7QQ8+mQDfUXLoJ/pkqspVM6BoD
Xivz9540fL7NfGh9w485R3CX13OQwAV0oMuY47Me8HMjndwbUKe2zfjkVV5xbKf5Y7t+zWIRx7rX
h53jcV45fRln3nCsLdGdeE4+1pLW1rzsHupcaWc9n58ZqbW9URQvqHHKKJ0oZltwOCiYtOMgCkVH
305kOWwxkd8TMKjp+zvr/47n5b4uuJznBZRfl8gDGMrXnEuf6aW32MP1SgsQBZC7yk66bn1MoIBg
EqBijNTQyPf1z1ZO6jx6XzXle6xZw81VmRHl80NFrnact1w2ut3/syrjlNkyoOZu3aKmcA5rVsq4
aNXrNN0JOrtDmpO/1PIhSHGN+2D6LNMqjSU1VbVnZs/6qs5anzuhpaUrf3SiD0tPHeToXfc491j1
Np9c4frJbPC89DCs1GA1b5ZubjfdNdhbLvyOWrHkBDZzapJMqm7LFBPZ6uZLQpjddlOAWE3h1C3L
vsRen9pyvSBQREwjKAu42svFlKnTwLPQ8CmxBaM6d++rzbNiY6J3qxb6JWgNsE9cj7f5ZGFC4XDy
XOpEux7bI9hYGaF60+LRH3/zZqvfM3v52jLSCsvKQLBTvc9ySc80YaKAxn6yhzaN6KakNmNmc7TL
JtuPpvlXw2ZGTH3wtgVJPV4/dMlULfYJIQERcRr7ieEXfjIqmxbPaxu8s7lsMWJ77K6lzEFZiyeD
e00EMBCBtR0kbzWWRRx+NpLX3YJWuKCH8wTc4kXSXry9bm1LWGWDs9OKvDs13NGnin8fxP3QWmZw
n/FyJ84adDtzdIk1a1d1IJn4c8JHy3SfAuctUMjtYqCfnHWaKDPQQGPVciLpgvK8sP9EAWUBaPqz
m8ZryrfO8MD1jGtZuX3MUfHd/P8/5FAQ6eOdxpY+KqO2rL137M22fx0oR1625i3QjNup7E89cXuH
QIwfiA33NJ6xCkxg7TXX2CO14N09mxj3HDfC2vhWnGsDi4L0J/JNM//koMOWWwZPY3sTDfQ9DTSZ
lAda0eewM3Hn9EgjQm3jgu+d44R4O+SX5lUwnPHQX2NBSJJwLpj46piGpJxqXPUcUOPzNWwrETlk
RMbFgL+I4RBD++K8S7Cac1Uw/iBCWe9MyKHTNHuPlZnZNNpN5EJnKEbstaxO2xBUT2T+aOhqcGtu
cmRMRXfSWRVIq5x+dRO9X0BjN5UhuCL01cyOaHe6RPkrckiu2B2x5gaonZ2B0U1URMr137p1L3pv
XlK3pkwUE2YEAhxEwrJEUk/Fb702A8oFbkJWoSOmD8Z/F70YTteUnNrsq/vfCOrknK55b52bjAK3
pZQMUQLvKGHdKOwr5gDRum9NRfv4KpYyNijEC5vVfJA42tCK0FvWCyKFnWw3w40wns+ImnS+ViOY
T3oQVFOWbbT64mBY6k1js0g3rcTaIusY8VOoK1LZGnP+2mbAGdpcva0sDu0oVVgUJEiMav3z2/qe
1w8V6OCLvemFnq4ljeZoaPwBVxQrZNin9V3WElyyVukDg89bVTL7VL89Jj70ZQbvpWw+Kn89GesI
qOE5n4UQN71pJoPJ5FAV5R+aHHZ/+jyxz/2ri1eYviykRJVAiaEJC6OlPNDAMDVqvw5PPx8YxJ2f
yj+Q4BvNXx6bfLNBu1jzq27+hSVyqGMPvVlRuuwKsmJafe982FPdJXmGGEEHh7Ds/KzjoA6tZgpF
ZzxlYHYM/JQ8U5v71a7dU/s3trhvc/1B6/HEGKZ1ycpt3/XVfTY8+gX3OZ5NO2RorhYEZwwUdSP2
acExl3sbFkty5XXLEbGmWSqa7B0UCVOcDRjDUlWE7YTTvaZ3FA/cCoetfaDH3clav9BBw8Ll3OXy
xTTGPeGhmKDFfVY574bILiTinSq7eBKL5R0yPMxzqzEKaGyoUpd/C4m1ZjkSPs6MkmfZj1fdF8NE
FChkl76Aynt2/cftFszmm5ODX7mCDmBhkdN3gyDuvvalxzIhAc+tGyVBL+vuOXX4pPJvIQsYjir4
zdhiGUOXaOILBjk/hUe3ctgI7284I63kH1rDty+z74265Mmev+15u2fv++yq/MPLupvF/lcQ1hpm
2EYNNqWwXyGsVZDJUM/bJ6GvyFK6hTW4Jw5F5SB7RIgMraLzFiOgMINTuvqfzSxepsm7yIbYcr+5
tyc4wnZ4rJTOliiP8LgnvWsQhCHm810g/GkDA/JDm5mRMIiNfK8KgMDiGWS9XnV+KyrF1EPbtl+B
pV/EFeBeHbpXjD5/INz6nyOsRLrpvST2G5eZyb6gcfd3jAgKiDksWx5Ay5qvMgGBsLfVg3ArW1BV
FznvZL146fJXFXDJys6TOocBRfQEa5eTlhzYCOEH2Z4Ky/pUCzoCoK12RJfsmAY6YHibeuZBSu02
SkuQAD74JcLv9sz5B1swTDJ0l2AflJqzh9YNG5QcpWPejVV2miY8+sH05WdlHDTNT2isiLb1mQRm
y6KA0ENr6OroU0lLBW4xOsxQRpk4uX/1dR89oo656KgNxmiGIYy+rozF06poN2U9uTdbA3jOf6Dg
/bo7mC5Dkc8455vf3q8c7btegpXXfIJqy78qazpqWnrUNxcn31UIZNdOH4kyuAbcrTfDaQnSz9Qt
sOu6v+7wZFXBccvLx8Le8rjbzGMBE7c0/8RsxI3rfZaF9V3729Gcpp7BHhkZjZKERDTM+4M+Rpkw
WFawwqnrpkKUM3mzXX5aSZigu9i7Rlr03D0QT20DwlVgMpwtkr2WHZHuN71cj1Xbf62kJ7mL5B3j
Dah769dQWEsIR6ehhs/fZz8v1gfL5q+zoS7EqN/VUWEsIlItytTR0mCrmbR05i7hX+mzKmcP2bJ/
+vy6yQb7sAXZlZsXMd91Xnmg8hhTubOHMH1k3xQ4hA71KoqDhawOeR56FuBiPoC02uXWUa3oBFYf
imvKf5hWtHCZsr/Jni6Ap3eGXfzRQr2GOG53xE4k9pJ/d4XxUQbOfdsRAbQ2Sa4jXMnas0sAEIqJ
+d32KSDP9QkUxg0iU+Qx7w3XBOcOofbMMCZTbRDULz1u5qZxk7lcd7zT/5pWf0ZIDcqaP0qn/DD8
hQ19ut9Sg2OQ+lpog2gRN0NbscShU0BN+eL680ehaWePVXNS/k0fZJ8gtyjXAb9Asaa95aR3KErP
DvNslFlVTH1oBZ41Pk0SUsiitoMZajt6mfzCUUdx+dDfDW2QWNb6to7lj9epmgmxv+s1JPlzYiPo
t1vnxtDNl3qzn5rFzcJJm1D5Nc09G5wfq6kF35tualmZKIPAMNwQ9I+2j5Xv7QkFwBO8qArusyCK
Iu3nx4qWB6fTnut2fMRWdN9wJnUuSlTdFw/+1hPRJ8LKQyQ/ms6fNabv+dURwcKyqWyfwZ4QUocL
f3JPrb+ukQxyC/2AdkNdwrIDbYAFX1eWRMxAZl7eaU316kFYIqiwiRipLtvokV/RtfRi6efCyIlD
cxpeXSxIkQllNHQmf/axin2PzGjKd8l0mEsztAsHmGa7N8TPMuJ4yudP+rBREk3j/dTRkHhN+cGi
73NzcJYf9Kn+JJIZOe6AmJ/RA9NatqJ4lGRcxYunjjwDNaHVyPM4ZlKGGtVdhaecEAFrrtV2x9b3
+usU/V5poBlZfmvMyMq1HAuS+xUMHBrtwinmybNnLi/X1SOzuxssLZHBMyNK/X6jrnpmalKFevn/
dlelQS5QMUW6uFoCgukl05Cy0D1tp+bnrHnnpqreyna6YjR7y+J0Y4HjEpt/WS+eal4gbaRNy5Hu
tZL+gfmRp9bs/pWbzI4GLcr1TE2gqkcGp4YuFqeZdt41/8IHemHoj415etJ6PZr07o8e5MfGs15a
0d64gYYxzEUvvFSh7m5/plthbfwpGvhBww12rcxA8wagMyeoT5S4ZdG0ts/12t21wtciPAs94W7s
/dkf6u6Ko0q3Q3cekTpVj/g86AAr1d1aqvdeNq8UEf5LTXtvyT0mSmTOnElV69XRqDWPUsMHS63I
3L+w2NC5XZQnZQJEkuAuabd+bV2w8rQsT4YHCKtbzWc5CxFhXwWL0OS9/39s9shd46QPTFHvc28+
P5F1w2LHaWcouBkqAuqrV2YGCqhHYAszHW/NGr/6ZCbQ9053vwTiLbcKBhTl7rntwOQY/Au0s0xx
cxFJpEcVJxJsVw+xlN+7pfbjFU4ymgE2CsM7pBM4d6XzBJZVhwZFVk8WnxIqIsRptCtBeXY/9eqf
9Wy5d2h3C9VS056m2gPdzHlieDYzu73PeQpEIZ85Fk6DIOkE68adc+saCuBD7dot/QKI5/A19Ydt
GC4drmHqxL8E8qVNc1BV1ORNWAXDAJ9LxIMKbYFRxVYqT3i8YO4DIBkAfdUMv74+IoRYTeaV8mIP
9scEG9KI/suq1/O2lOfeGJ9T23oRk3hPtel+JL4wdzq83pIemGwmhn98s0h04ps/NmNGtmzxMqbs
W9ib8DjZleLS6EIzUA/T4H7NbXOx8jTUsxcGG7iU8Tt1vqmyuV08Uvm1VEPBy2EhA+YHh4WBqir+
dAN9OU77Euje25BlHEcWa4HlBY+Ld/LQrQ2sJ9KyrEj08qd08g93QMIJi3loquaAKPSjcM3voB5+
ltVgyGbn1PUfbXLg0Jg2ySKNCF/po5pYe8BynEPNWfQ9pprg0Zjmw6DFiEK5B8u73Ft/ctQ5IWFh
e1ek59lt2Txd+y6jvTMsHYWqFhVCXiBy5bCMZ9U81ikKGDt7nfr5jZ3sQ/TVRer8dBsZFVr9PNQo
r3phvzmeKKI+bV4AqPegPM+oHw8tGi9qP4IyrGoTSceM5ocDLdeLP9xrNTPur2N7zxs33WBpN8oB
NdgKUlmQ5auZAuLhaUvzD0UUD3uB/mBU+kedshnWhrevK3Jogr76g5v/7ReFhLE7bz49bEN/yqz0
sRs5TSsl/xEY+A80AsLGnv8GF7tjyhlA1qgizwgZSuGLk+maVBbOyF4bkWwO+X1akaxdf19vgRH2
uOQSuirQJssh8SUIN+JXvDaZk2DEPo0zj4uOEyK0ZnxpKOyEk16bFessGsRyXpE1ECyGjEV3xxu9
hyFWV3KnLb8drMPRhrB1Y2mKrc56IoTgqKVgU7Nea7HunAJbfvaL96bcS+Ybf6gikTbnEgjRfsmD
jLfCuG38YwALHDrs+1GdLXujgXsQGVsThYAyQm/lZ4hM2inYkiZ4dPHmJpmv3sHl3IBLuxby1Ucr
GTbKP8AhPaw39FrrNdbr5piPiiJd46VyWkj57Fak074RtK/RJPJjajbryAB14bvfajFxqbmfivoH
rm5yQc51P5+yDN6swJG9wJUoxDFei80a1WWrXBkZ6fBMeOJP2RMoaPzaDn3rCBf/1SiZU6LnTFn9
62agw6rlDZZn+kb7dLiInIjiybAxV6o7285fvTl/LzTXYm+zzrKS2DzkmyjJj3Gm2BXtlhhTcaS+
aIdm7scmACzUxu/ZqOjPgukyUvfR6ufjaHtP+pISFQFEP+XrQxW0P0OeIymiXy3XQdzEmdaysKhO
HKwcdStodj6j4ZDD8kLb127Z5G+VMSmgyG7z3I9KzFaRi1otBKw6S/VvYPyVfcN0zU7dKPchr01i
3MjSM1ktCCV4DeCDc6N4EN0qYssfCLOs6/tVM8sI/aYIXw3J8VUu896Zl8+txriDdy6cvAAcv6gi
CjTAC1jk4quqbOqu0YJdMizF56IY1TxNJ99POR6S3RMaVd6opg+YHrVIutPOmSfWDPWp99o7MMfn
qidihPYIMvXHW0euFXq3teIX0lLTg+vLUZ1r5IROgRHDRpMXUEfB4L4OEJ3BYvVXUx2SNd1ghhvn
/TBl4UCcMDlvfey4CGFl53JYXCMMJSdaTjdwaioyT4z1LdfsZ6925c7trhA6KAnHy8mhKbnIjYzT
ZX0Ur7A4frguJLNgSAk7Z4rypvNCMbPCro72vJT+adYJu8IgUIegFzK8NbfmVlOc20OvqPqoj86s
6bvW3WTczJAxjFBrbdPixIpoz9ML+bJnXR8etsx+tGpkJGSbn6c1yzgELSg6U3uaPAfOjP278OGY
qrZ5cmaFYK8szw4NV9FsVdwXtCGHyNLHRnt1xv64YjguTSQfYFI8Ds64hCiCK3jbqNIL8iDG+h5i
45leZ2QhI/ZvqCqCpDQs5CgJV3e51HX9ZaHXccFY+1q9kRxJ2sj2VNTp89ChANdd2SVre63TFExg
VCt+Zk46sxYjwdS2ojzULmo34Kpgw/7dtm8ZEYaZpUiTaj4H0wvCNnO3aAB3Fz6Kp8azu0gvNDyU
cr+A4FImDSQPoRDWCzZCxz20/fjp5+m7N+W4/Mj3E64bBQ2zxzJuZ0thZvg/azI1boe1vdXp4Qk7
3ZYx8HUd9VuJmtO9cUzgJNV6Seowc1suQhjR03cILpK4xXMzjdqu8G66HvK8SB2ummy4SH8hiVWH
EHdRVAYxa5OX+CKzEmVa2JAQwsM77md9+qc3MKutcRZy/jXKHN42O81LecEqcjG3mibcmgCM4mmU
wVvuFm8NjwTXCE8z5HOUUrKokQuAjECHa2IZGV56t4urCZm3tagCSl7yOvK5bfuiy4xwUKUf+USQ
hAH/bjE3KgoCAiHBo+82sVwWUo+vKu7ymliyCoO4pCHpVQW0fS2SNJH6uYaBxmoVz61exptfMg1J
+8UplxsHSMw19NsxSDCc/XJ+QQSOnyatvYSbDAnLNfFV3V85ua+Fp94c+6reeq8Dxhja6o3D2B8y
G1ijSAOUnYQG50Ye1ZtfRzCEwJh9gsrTRXVD3K0xI5vQSSmTxjULx8thLph7/MA5N0pxHlpIJreN
DEBHMVZYQQEVBLO5NMHJCbwzGraXuXV0ZB6oBCva1tGhMCVbL1Q5gyEgksxNmwlOfrNCo9ckXW7j
c6wzUIIMYYJN6nS4AWW7zbtbChFOZfnhCowIdYewjBBcwLD5y7S0b1yYkesPT403Ngnyqjqhtfti
d2/CE2zoK/jv1E4fOuSijcmHVxGn3GQC9tnYalHh7WkMbqN+Cbcm59eWoO6TB/wxGFvSLeTXz5XZ
ou6qqpDK3adiRJjaNU5zKHPYYZAZ/C7451W96HvUZ1gHUfngYbzDlgnckXNMrwQIqal4Gybt3TVz
A7ba+hK5oZJtAis0u/ZH94oB86l4HZusiCylQ8IG8B3FuQHwdRVy26oYZvbIjdabcdilHXzLWQxA
NsECxWBtxdda5fxETvZKLh9MkLhYdXYhArNKNqIqMEggW242xEuooj9kmx7Zqq3DisvdX1pQXwZG
Deav9uH2tDV9MYeAD7zPIiQ3Y5zneNg3rEOwH2VkHL2uGk5du7fXheBvGoQjqIL9CosfkZjfxeeW
LqeIwwgNHjwlG2IAVsQDYTZv3qIwQUuguw2fKx3XuCKtjiHDdM+lyH7HHgZ8/f8ETrUf1wG5MNeZ
2IvS4uzg/IaLeNEHmCaKdvmCGSLcgT8bkxkp/pe0q8tILhRXs6NFJStEqGFSDhey04omnmfx1/es
Q+32GnSKyEsnfx71mVQZKDK0I87N7K8PTcDasuAZZj9wwtquH/J0qWJnrJkImuYWyTmaDPGkaxr8
zGJx/OnbPqhdvP3DAyltHTXazjeEVuBkj8u8W3wuViPwlphygDHcNudfmgPHAydeuqH9KfPgkGed
jFRtILPX/jaFO3KtrHPu9E/kAoesz7fGZseBSrkWgIUWyQtuqdst1991YzyBJVrxNA9aWAT6AVgF
RDt1fmbXveum7lVQ6uXV3x2EO35gRJhoYHd4nH+0CjBUVK+kZn3OU4xAzI0LqBoczYxllgXDN18y
hTmVFHvex4Fvm1fZq6XyZ2qK3sbSYuMrBWd4nmjYfCbsl0gVSfidCiZyi7lV9cMlJbQTSWs+wUC7
5FF0tRcTegHB0Q1Qab5H1KiuJwPl5KFDRWtoqjrx7OnLzsWJPA9sTHWrdsZQJfm1eqNFSFgAMUWZ
Szct3pAP/wc/BfSlw5hUek/9lP5N3ZyYuvxu82K/2dPZWNQa1/k1VLTBPls2r1NQvnic/L37ShrQ
P3KgvjZ/vHU99bjNkxvlz1Va4tghLQ9beH9yNfWY1h6YPBEGYTq2X1tb3E5d8NO0ABnBWn1tdLq2
TUd3Yw2vrWv6k9RzrLR8sBD9YRnw5pOE+Vwt1XdvVGBo5n4eAtaHNn9IPbo8rWX4QCIQTY7RH4IO
xRDS4XcQqVT3jBc5qvfFHu+Ukheb7TASRZdGmZEeCN54J9r3H3nNxO4h8y+zO6NaMf3zIbgstDjt
vaijSyuSK/XgXWP8jjwxddVXuFh7kRTE9vtKNwALgBRtatkW7Ym7IouKDRrKrqoEwzq6KAqyuMYx
iU/1fcVVD8v9z6kpEc3wLyL8RbTBCoI0q0ZsTMDKvDmR7g5EE4gjpQuvtoYgkPkgBn5XSTOwBNLI
SaqFvHCJUm2hXMqkRemH7i0ZgT39oehzSOL4q7XsibniMDoEtKBgAdayxRz6NVRNl01nknuQUaO7
6B0D5r0MbkmhOpbI+6MuQwaAP+u7QtAGs5+xbk+xby4nNOI15+5qI85xX6kGLUI8Cr0+xT1fIVI6
oPOU9Ck2FuXU7n3d1m+1RKlkz2sVY3W4sTK9fRgqI8mcnjCnfgwZY05r0JCulJIfqnXLdy3VoXAY
tqsKICYV+revNfvRcw2cW9Lepc0J4Qc0SLN9NIQtxlfCqsqpyCPED50IHRdCWHyuXeVE1ge6uoEw
tLWOyRaL8rEgu3DZyzWtETDdm3zJWMJcwR6SxoNEq4n/N6dqWmsmYKn9xEt1HeXPJqOdOY/eLpjX
ETl1aTBmuyKeEYGuLSq7tG2vL6pPBob66GGNo94gFMcxxGOxsBax2ZMthQ5s1HG55XpouxPIHFrg
eEs7Bwik5hyF7OX/ln9mWje7ZqIfXLQiIerf32fjcqMaNHSVrD89VjigoxUrM+K8KO9tPRrRk6FY
YM+RBvKXFC6pLdfT1tt/ZEUHsTM1kLq4a02AY6qq588B+i92IENkC0ng9eRnKp8/8MwYTx6ADw/x
A6GXR5bV6KEzBngXW53/ZKBx0Zre2hRG2mLpY5deY69o613eafikq8QJruxHi7IIofW31gzGyU5B
k1LSk9gPpZ9YgbuzmdT6MpvvDA5mQb8KmUekEDgaek8U9ZpUboRz+3ZFvHYOzN7h9Gcdvv5m/ozh
xXpDCdM99R5RueQ743cVbYJSLE63IU0Cm9D8ucupsfYh8Id1epxLbU08V+fAzZ3njiAWoq/nC9FG
/b738ILOeZzSPooscvnzJhmgqEB5kjnPWgnE1YjhFkL+jXNpr1dLQO13vkvn6syLhgjPyeShVyBq
CKlgR0n13kOK3GwiCxKz3q7IWxOXWqkOQs9eV2I/o0yRve5jFYM1mYuk5Ui8VoAh7kOoHPgo8ek9
YTABcsyKDhAGUGdyFMpCu1nAceYYR2LBBAsPTgruSWBSioDPnbgv+WIy8C/OMgWoNzN9p68Ze6+1
x0DV7HPZgtR1/UkqpGHc0x1KApyKrv3L24C8qTy52BzicoAryBcriEqJOVTL1jYZM/IayGhi7blq
uNGwtjzYworhJH/aFRFA4d/buW3cLn5KC7nu8aGa71PtPVutVyRYIYGYEWz3oAVbU5lnt2oXoIUs
8a4dozm4v2NO3oFu7JmwgpiUZy+Ec0k8OT/Y+vKpyfJmWHIRWaVNJ8ogCX5o6fqu8Ze0LHtD5u75
Ll8ect84731Qk5UYdm+JVI8ImIuB4mZTlCF9QlZSXlO6VIiBqIhthLGZ+kXLLHCVEmxfDk+uUz4g
13zzydneUwHE/onwY00pnbA8+kl6cdHEnvQMfyeDlO2NjsV6gLcnv+CoLMabYclu7JpEjmZihVwb
cVeWoBaWD6XLlGC0X50GjSzKMmr98TMfvHsHSY1rT7+1pfWRlwNVm0P7wRaLD/Y+VXN3I7zTpq5x
SfDbyVBZ7o5UkacVHhC1dTT4ME6FV50H+i7DYRhdsquLErFx+7zMdNUFn5SV0dPaEz08l8HRp2+H
+0GGKCr/NIO486UYsRjaxqUQjOltViVrQXhHWv1QH+KSTWEhWt1MFr30qwNKY9vw9B1gFv9EDH+l
HXBT6169K/CmYRErrGPvWnstxYUhs686fdvAlg8BA0rUyu6G8C06vJ0t9skIaVzlR0G5kZARFLHy
OL5s5JXZmpMmLb2IF6A7Q2CbRO1PL1Yr9QMitAONT3QMzCnpdS6irymNCt5jDmrH2PkmIl2XUJgj
+pQbWIYyKTX08RvJkDoS6zEdjF3uCfOQevYBk8QX3e38AbheKMiEDq63XVvZyzElvMnpsZ9MJAgO
AIXcsA4Hm9uf9QJWtWsEe+M0PhAQ+pRbjcFaKZ6vwHSXWkRV84m6FoW42T/rWmvNCk6otrSvN3w0
IPQ5lGVxtwAFrdjPkLPa3eAdrf5+IQritIiaCWXGT0razOgz2FwVUmDbBBaBLXqFLYm3YymtAHwY
57pwNg3ybhkGxgouEs06hU9gg0qwrJDP/jMTzBvZ+YBtsboC7qWdQKZgKRo5Sgm1gXl5KszsorXq
vi+m6TQQEAox3X7oHggYFzf7cob2Vmuue5+PJarMKMXVHf+fR9E610Gnh2W5coQOPDiVR2qR5o0t
yj75tHj8/ayBQLlB6LHpkgwMgH0lDdXjgAOFeBgG946IyyZ2x4bsUKjWRO/6iqiTLtLsOdubUJxI
XAOuKlyXuGJwl0mOh3zQ7+DuoSlGA0VB8x9j57UcN7Zl21+pqHecxoZHR5/zwPQ+6Um9ICiRgvd2
4+vvAKg+Uqk7um5EVUYaMIWE3XutOce8s93WWeaaX62IEbm0bdTcGE32FncR5ng3vHia92qVBug4
dwQVCZbP0Zv7prXshZbkD224TMOuv/GqFhaN8zqq3bAy1ULH52KjjLO+p1L9iti88fp3vFsjQAin
2JvTw/yssMpHuBvwzKZQlVI45KsoVoPddpwCV+aHz9ftzwV+WXZ+On/0+/Kf31UpJa3Af3/VvOTP
vyHHnX/vc8n5o8835qe/rMXnAj//bP6+n9/8P9b6l6/6ZS30OTzmtzUoxk5dSTX50oVt+blJ4jZB
C5lp5UKLqEeoV0EaAMJbLNtYUfJ9lot4r51m77fhYjf/9JHPT2HoRisGtpRWp83VpTmn4LymjmXV
6XZe85+rgBgLzu/8+vPznz9qXlLE+LFVoODDrWlSPipTWBDcZnV21RStOz/7+RAo/bYo656AKrb6
/LWlNEuc28+/bbxfNu4vT+e/mP/h3xaf3+tyd2mPXrrNepHufz54offrS+oTHWak8GteToE883JU
DFNGZkWz+Pln87Offyt1GhGMsP/yXagW020hu7qsvMdqYP6jDfkeXWu+n595dAdX0OvfPn+wHLN9
Pz3ML+cHQQfs8+XPD9q/Lvfby3m5+T1hhgAGA2iRTi7J8Zz/yZzrLHrBwlp4E6KEofl/7xHwGtl+
fpPCAG/+fA3KKNvozrAHHJhw36RCt2/ytAPR0Seu20/Fex7mr5q/APjPU4GJZTUb/Hutw5pR4HxJ
0pwAJZw+Pzb4vLl+vvz8eN6wvyz5y7vz8jhDOOn+96XmBYhFaKBPT3v5c9n53bBtHbn4fYF5KTRi
uJWh1y6JHefSMW/5+VD+3C/TqWAyPv3xyXyYzVv4c/Gfr+dn8998Lj6//lxIhBixwbtt548/3/tc
6PPx13c+n9OwYS90seOP6BA4Kj7f1oKMcuHnH9nzSv3yb/225vNLj87Cco7L/o9vw3/6H/k1n2Ox
63/9F6+pIshqUuX/9vJfD3nKf/81/c2/l/nrX/zrFH6r8jr/3vyfS20+8vNb+lH/vtBfvpl//cfa
Ld+at7+8WKGIbeRt+1HJu4+6TZp5Lfgd05L/vx/+8TF/y4MsPv755xv2PyoKdVOF35o/f3w0pYRr
uqaSG/4fv/4LPz6efsI//zx/9N/zNntP3rL3P6b/j29fq7f3vPpfvuXjrW7++ScDqn9YhJqrUBMM
2opCM//8o/+YP7LsfzjCMlXT0DUBhVQlup0eWhP8809L/cc0FFYd1zHwT//5R02TgvcN6x+W6mqW
Ol1P8dfo4s//Xtm/7Nafu/mPrAV8ifVrSoOfQs8/9/70c01dFSYxBJpKe9pwDcNy+Pzb27+z4zOJ
MabNR3Nn2FaCKtbV77y06ne6/jW3iuFEYEB6sD3jOfSq17LIzSe7AKOYYdhCOYSgHw1sFnr+U0XL
6SGz+vEpI27pxm9z5W9y7nX193XVKPi7cDc0XHms8hTw/su6BmOnDUKKamdiJe6M0tooWWJc3Omh
rC39YhrDciSqYDdEQEomTCjNMOcqylIyijcAQgSefgyq8Ox5Da2FtLY3EiX4RFkcD/MDIDn14Je1
O9GNtGXR0ui0yMfaBEHirn2UxggxPAT8anhtmBz8ciz92D2/7g6N/f2X3aHZtgOjCU2BrQpDs6fP
f/mJipJqKQiMehNjHQyYwLhyp7gpXksa7ie1tIMTaRSQqtoHgTUMXggFTAtWytGP8VXhiRdKTaSs
WRsX+t3Fi2sEONqt1Fur4qm0CLRyc1NH201rgHIS26Qf9Ys77feiSsK/2WXG77tMMyyXwwrNiuZQ
JtB/+z1REdSjZeYDMz6MlrKV+O7UoUPEaazRm6MitlLqEqb/ocXxU69n2hUHdbQfbOveUtyvkV1a
r300AK0wQIa4AfUlmD+PbRjSQau6bQTt8oZxqELrQS02cZrdqgblNZDa4hgjIqctAm2lDnWHgkAn
wKdpe4ys6arwXf9IaCmowvHZNcxyr2OhXqKDo0Q7RcGUEBhXf7N/7d/3L6cRGDMOYxPstPX79nD0
Pks01BkbpTFQMKhIYkcpw42hvXrwLrg9xVhNDGRFBYqqRe8bz21A8ww1OmKCPhrpVeXNLlLxYQ0c
ES72sxupxfnaUAZvJd2heA2NZg9Cv98SU+KAmgVbZjT3hLr451CNjJv/+ycZXIr+esjyk2xdp8Zh
Oi7tvd/OSoA11ITjqgHAZ5Hw11rBna3Ia9lER31s8IEV7q0apt0mVisfWAPBdULXtzrODUhclI/N
7FCgYjUs5RURwnjMFHIwFfxmK5x35NhhskCiUC5Rs9VrJLzgA1Vn6lIyy9UQelA/z89p1ue7qDQd
gkVC6Ej0OpkhWkiaczvdFUEYH4TZ2jToxCmJ+2DdaTZtHcBDTFBxQFiYsOjYGPkWSk1waZjS/M2+
d6dL6a+XWs3lmm3oumEZmuBk+G1D+SaNPN9o7bVVJMpCIavg5DAvXIx9WB3FOB4aZPj+DWk0N5Fn
GO+BE21bNfafG0Et2zSi9QBPcVF3Y3KksFbTkijENswMAmWCO1Pv7aPVF+sOhvXRysccF0FhYIGX
FCFq85im6JbUEheO0udA7GQh9mObfWsqY3Ib0bfEW2/DckavMVAoLfGXbp2Q+C90Zpkqo5NZSopK
3JV2uTRTFMRMzeNIsVetTCLgXUZ8LPp6SU9pmEzr3dlJvPLSWfZrZmcKbEAeIFEySyDQ8viq+TL9
5nYBWgH1zAUhfRameakbR11jmqlgGlH987Uy36d9Ed8r/VTh1iInXbRQAigradoywoqL4MaHoDM8
pk5L1Xewn1xpP+QOKJjIMTAczqBnxLhLCs+PNpthbal0qiq0z92EH206uvn+MH29ERFdFNjcOAYr
O7akI9wQZWm8Zpp4tGVECayyjvODl6F0/7tTydT/xzEiLNWysbtqju7Yzm+3467Sk6AEEEuXg9Uz
fJHdDTTuaKfgqE0ECWtzpoBe4hVLhqC+jBYdJe4jHnIY2e50NU/WFfW8Uu+9/cDIbx9Mv7xMI/tK
aMMi9/sYQwptDDxC9XtZjSHldQcucSh3FAoH8kyyb06vWy+U4a2VUqcpTaDsgtQMo+gw2rDfcvua
FxhNu/JUjng2nUpo2y7xeqoSdr3MpGmdQRvqO1EG1NSCsNnl5ARiVUrhx9O60S3wohRizYvtxJu8
Q85Z61F9F2fSXlmDENhqi3jTtmF9LjvnXjfy/MHNNGJ/8uJQelHzPspo2JLt5j5qCO67DK6RLWv3
GFA52Oqj1mF29cCWFGAzFH1HRxw/VnxXy6AgpLd9UPPIXTXj6F7aYBGj39i1tHqeOumuRz3VyY2V
1D1CmzQudMIPQhr9tTe0dRwg1Wm7keJWLq0HxGXWStcUG2MizjdZq+MCYwkyzA5TYtHUH5EzDlvV
ES3UZI1bm07zIk7d7GhKMlo8nyTp6fcUgpGUnRp31ZTM4nkuXS7U36vCC8qF3/b2kuEGvioReBfN
JIuPUgsSK+0VJYXPvmp2TImpwLa2fwxbVJUOdCG2vVzkTWEx/4yRtNja2lTQ/A9OC0ZmpA+IoYCi
O/37I2mDzbri8ij4J58J8WjvrKa+tT1EKJqjZBujivztvK6xQRIXNHBa4AmuGHPbulpzld2loh9w
Gq3xkLgAwHyq5o0ylFc1iwlbr5r0Cu5foQx0zGUDimSw3b1i0/yVHSVCsnZQTtPoJmdpioxSxrNn
FerZVCHw+Ragdq1Tl6FaUBTLQFj5mQYMO0/f2yGuT9kQr0uDqlG5Fm3n3Mm2qTaOVaBV6sp+adWO
gmjRNlbRtK+1vHZAKTXZyh/4UjvBlYXBadk3brdPAPKuLK1uLpkpv86xSFk0nmTrqxsNp+OOccS2
1W6GOo+RHvrm41xx7YXjbMVgIAhX9XLDnapAdEwv0QwWKozOr8K7983nqFJPed9ndw4nW5Fm1kFg
a19rNmPOkBv0XeFyibTCEiq2iOUGGZfyWMlxS4sO12vS9RvK4fEpUC8C9/BbbwGukBRCD2nq+OtW
UcUCWbRxmR9kuHAzwPRK7Csns4n8C8Cnx3CKL5GlCcqu7JAWgYnbhLD2FwkJDfeF7nTXIMehExmS
GwWkBbMr8BKT7XDtcigeUCR9oN9juaIqj9S07b/mWD1R4mlsGT/yH43pvOjjyl9qbfPqFGV/DHxi
tgT5NTdMlsqvQx0fapWELgBjABG8rLsPDDDFg1kEEF8no0Wc2CevgS0aiyZ6tzFxCaMTb0a04zKh
VTnjvZz+Vxo1YuN1BHHiZP7ohsi+LxCnLZWYG3k/mvd+Y96W2AapqAftIYlTD2uUcTcykj8liS7o
NtT5xVG96XSjnpaD0aWF45JcKN5CHDTPCm0HgzrvSfEGKtleka7yyH50zSG9NgXSj37SYdj63lCd
YKmK0d/VHsZmmZS8J5MXXw+JJhvpcBpCgX1sc4WA2AWBuhwjen4aTCCKzs9+/Dz6YYWgtNyEMk24
1mC5JSj3gwlkeCuJhjh4Bd3Jyj/i6UoPsm4RfJH3vZpjYBWNNEIVTfsyreseRoQBRRCw6rKpBvsE
sual0Byfy32yD/qkPwHXSgHcbBEY5bdwN67zjmC87WtgikwuidTHO2D0vq2vFfr9hK1Yj0Nfy22V
98OprbUj22XcJZneE9dgrtMaFLvN6s9POlei24l6YzN/sTn0x3BQX7GPhRusz4jXRb5i7VHH6kUP
HMXo0OUaYINGjV5jjooAbn600wJ1ETY9CFW7MMhxtL+bUituXHzLSKLr8gLga8kQaOEUIvrg6EMg
g02Tqn6A4qbDuBGJ9EwkIkLbsU1v6welC+M7M1uldu8fplL1aFr9ySWFFH68/+ZNw5nBlHQ+HQhp
fT2mIAIHY6G0Ma0GgHFa1YsLVFx60WODTh5G5VcZhLu+3dhKkNF3V8S6rwK4DbCXtz1QnEPvmoiZ
01rufUhTB3qGImdoZ7cbYRrxzso1+rtufhy9gWKvpWt7VM7a7a5OOvnFoOVYj2hXArpbF2DtNiMy
+pxQIcyEM8rmYGTaTODJ6MkNjBttEbmVvgnBO+9I8RVXCGr5ArDGXUANdJcXSrCyuypci4GEmtIY
kycwq+GqGQYLkaLyXkyjhaYEFNLC7ltpSSBWkOSxEXsiWptCUVa6mG4rxdMYtVu/6yHZwMNfJEXj
LU3d25HeBfYqy4Nt7oGSaJBoDiL3PrrMuAX537yESnJrNbR/rcrMyLsR5Vlz6Hn3RhLdqyH7mAkk
9wQaiJvZ9z9k6qbygmYH1O97pJXe1decpSESa5MJLPe9bL5J0ThnsBT9uQdmUUY605CQ7BQh5Lkv
k606asYdFVPIbESUPdrKNMTKVe7cXX3sQQ/ctBoCEcdXsyPjj2OYWuI6P4yQI6/pGG0jZ0hObqmX
EP0cA4hbhn1zhmqVpg1Db37qSM/eBkz3wCo3i5H46WXrlObRaFSPsSviq0/AgAVqQE4xgKgdKoRz
02sCtBf0PZoL3h/ntnDTN4CHxYHSBheMLvoiIN6ZLeZqDz7bEbtX8DxEabZUES7tc7MU+6KOVAhJ
09P5TVDiFdEh+0wyLsYZj9lJL43hqpnnVvPGw2hpA+HKXbcbFJTWonSqY4k+blSU586trj7S46tN
5CXTiwFHrnQxBZvqE9q54uBXLq1C6xQbcbexNBtSJwBP1HC23HdDPO6z0ARxMj+d3+R0W4citLjW
q0G4ZIgByUpPj1Hv6ac27dQd8xtiAOAST7NB7TFF2rxsMv02QEp5a2NdixP62ynoip7RKoEWN1Wq
cCp0431dmtxnImgB65J8G6SYiXff9fUZzIN+zqa7HIFi/aLIyaW0dX/VVFFznR9cYAen3FTWxJI1
V3Xw4xNVtFWvF+3RLvAqmtPD/KzKMDmaJRCRWMq3wIXoN2eHtFFhHbACAmSYMoStDt3bUIt7LUzT
M8NMMpFw/2GnyrplpucPXWkN1572nCEN54IqGdsEs9h1MeUVhSrEf3KHgS9l/oihBcLerijVte4l
9cXgNEUGh3MbrD58pwmHp77MY8jezQ8MXWNUpIwoG814zGO4D0HEfT7D97YiCf5QZb5xq1JgweEP
tdBt3PAFXCmxaGXln5pEne71+bUht3KD6LKidxqat0mPrkZE1P9rv2au4sYLv+8tJCfZtfNt7c6Y
/K1V0N8b2vheuum+FnUMdRWbqSKkPCReIVEh1O0SSzSRZsOE6Kmty0DgEGJd47vj1MWK/LbyoaNA
sIdWtmHAfgvxVZrIbEghFladbQiEgRIJp3/tuBU521bipKvIzdWdzAPmD/EH7WLvYOUCPVSZ0I8H
WIbqsleWepGOOwPqXhdx94k130ZTzZifUIxwI51EOTjmg2vn8SOhhM7SdtQBPRHzHr3SsmOupnJZ
lc4KgLF4wBZDbJ8DrDmy+Z5eoFFTiJh/rYEWlR1xHhOz5mAWcbG0ogDcGi6hGwVnCM1gE312Khrj
EHQh8lC4jzdKm9Eqnp75rVsfLBO1HBmZ1oa6gLcmzvgtjNWWHIg222LSNdAyZcoCqGD0nLa0lYco
ExsVLsymJkEaA1nsKWug9/gxk9hcPMe45V6qAZq3W5fhwpQBQpKuooUcIBTwvER7sOft6Ti5Pl0X
HkmRsV9DRvW4WpVFEETGUalV/cTANNn1sCkOdhMEpz5j/C4oMC4DlMw3SWjXjzUaqqWGUeG2jzPG
W8bXVAZEcmMoP0hiCZiT2seqKpNXToGXyDe8nd05+QoPGwQBt/MBegXhaq7rDIx/ttKacG9gbzgj
MveaEOdxaqu4ZcrVul8Cp3sJpenc+Ralgxp3oRrm5pLmtvPaVcXaaMtlVubdo1tk5obaub8xjKnv
hysjrVv7LC1kO0NGoSYosfPOdQ1Pj1eyZ+81QdNcEPMVq0iG5p1SZ/qicf177j+XsRfapQGEetMw
2+zhg/Utk2CjqZwnP/G+u7raE6s1+PdpHYH1jh+Bg3V7JwyCq8upfXBlfionEAsJSssOucwx0aaY
8By2deHLA3KPHtmj7x5lG12Bsxov1Yjn2vvWCIf0PFoMyKqLLj/nJroCaarBPsDJs2EyQZ4ekLBj
MTn4oilFHEgFkAhCFR682iw2DQzMTtC37MMmOA5NZqyol6oobtTi2fNWdjpsHZJZz3NRoqltZ0vZ
l1FxFryUnl9zJeEqU6Z5uSnDvMJgwktRDygQR7KIQxXfkYTCWfYAM4QnoX/W7kOga8EixKK5Bz+x
8FNdWY9I9S6MEcaVK0HuZggst6bbhUvYOFzvpvpfoZv2zulBHzpEmZa+GXDXUJUtTqFnNbOTkwkT
/oTXEJBDQwWIlI4xMrGlC+ytjVfuKirhNCx17xZZR4hgxYtXyOWQD9emucPmf1cqRnxQvC4+6GRe
HwCOw05T9n5XlAdWJOfA0YMbLhyJ6XiPedDm9y3DZNRd5ZNBLvpatzEicdGosGIxxK2YUpzmB5k5
QITrUm6sQT55qklNoVZAR6ju2u6buFrmxfDWZxpIz+nbRCHzxcisjiFjlDxkWTesbfQQFGzkoWpw
YBhKtWu0cXw0q21Nu3ahDEjwS2Zm+/kBfOt9FwB6hkpFhEUj1dfaeKdwf2kRJm/U2EkORGKSPj4d
iQGXwqtC2DwXm/JbDdbILg1qJFQ0iRDlpcaYwx+SnVBd/zYyqSkkefCmCzyIhV3WW9VwxAEswhsD
dHMj/YBUvsTfa75u3ngedXW7b6+jB4wotPz6NvM9qsWeXzya/KyTQwxfwFUTPPrBwa/1RiEZR4+f
hNy2U+0cMHCm0R3tNc+Jbg3Y6ICEiRToTORbJCeiOC0tNk4OpsZL7JWk8vLMWOeeCpp3UUJ/PU/o
e3DPN5K8m3WSBGi8+nr40jhmuon17oolR+F0n84est4eTWiMsn5PcG/vDackkEE86nA+bxsmp/CB
KLtYpWtfrPouyx4R2PUozf1hiSNC26djoe0DNJNS617QlXZrUl3Vo+GiX9dJxgVz/DwahYtDX39L
ImV8p1i+kgOTA4ScjUCRqdrl1Q/a7r61YHLLnARqJBWkI7nB96hz9auuJDWz3alP7+nKPi/EKKa7
KJfFwf0WN1G0m7zGLmfnUZkeSqCkxzrcaU3MpM7HTdh2X8qudbf0y8ZDVyXqYX5mcYQs/BwhJWWv
GKRKqK3ZhyAeTZDaiiwR2wbjmMEMpSnjMF+h5DWs6tLhg6l6CfoSQivB95RVu++Dk5pXoP7iYoZI
IAff5lCUXXeTKJUCSobTkNhDY58NFLpjqtBHvSdaUA0ba4W8u3qr452fAugXTYspuSNtyZLLSFHx
UDa6f9fq3H2Z99SguEGFIm9KGKhdDN10NrpicRIPtJG49HJRbRjrNl10RwoW+GSSaMIqLddFGYu7
IhRy7XrlnUkpcmPjiwby6B3GxFGPCEU2omcEOCdnzqGZ2gBcFvpQ814bISG1o3/0fTM9QxO17ryK
BHbbwKEXRojQVaHKLTHplFErV+xEnV0aI47hQ2LNoA6VqXRNmOYSlOfuCicgMU6Ir3OKMyAYD0yx
6y6zooqPoHrcvlqrSqAdJA6Fs7BfaKIlW6Sw/WMZZbe5geo+7tz+zu3GU+yIo10xwtdN4rW5QwWd
qRzw7qbHUC09hoqAQ6Cm4ZnXN5EVO08Nd8MbrQD+V6pddpf39VvVO+bBlEP4wqADTZ22jaIGIDS9
jTuLyfqC1CQiFvZABPTnyOXmVyrphi5VvSPu6ICXSGNjVCha+5jOh0iiNao25LiJdhhDh5K1hp9O
tuQAyBB0cwtDIEgxithV+pwqcIcVK6GOp6EHjDsm6K66p40YgTaF+hFP18uENKgDDhIfYahdPE0X
04ah4tL10wR2jaM9DgPrXZvGV27jIYw1ass54EU774KzCI8ZSSRwscl/SYNoFwaWckpZPxLecYZW
jVOsXQWWq9db91RDzYmPrD4FNsmNVkT1WwnWrR6Gq45U67U/Ao7qmP+TG62+BQq95vnGGPn6rVV3
b1WOho0wq/4GTaC+UIuacOkB+lzmdoSnRrG1UKwBj7cabmsnCfZ9WSPlM5gTBTkkO9ubuPGNv4ry
ob16yE7XfpZUZ1AaAHSmc6Dt1V2CPYPjn3gNApmfrMwxtqh4gnPllFCvRPNWOiPAejcMHgyRh4uK
fwBgKo58Y2qG0dJbD4Xhb4fR8OnNJMU1DV1nC1qrxIQ6fu/LIVpa8OfJ9ebQDbTstmfAsgmkiatr
ArtHmkZHAP+F48Y1JUvrJfe/RlQ6MTnaYlfquXcI5UAp2Fa7Iw00DGmjd59aLW6NXEOHFOmPgS64
c8e73uFO4vcKdoAptiXXas4Cy7jY4fg+NMRkCWCHyHSBVwEGaBHAD8m6lTV/PYkU4rKx7gqqnoL1
ERrIJjB94UtcZfIoqagVLuYBBPQ97FagASJt9pXPNAeZW7xEkmzdV8zcAB+lpDW2tNdLNQtXdmPQ
CCvO3KTNEOmmwzXVtSD5pvkBh3sSJQcwiM2hpJyxguy6Z4YXbGyb2NgYzDiINJuoUXwS65B7ydEr
qD4iEFb8Vi77dDqaQ584X43SiApc/5HEk2SNstVc6fY3p6i0Y1vpnKn0+tflNDQQKpx1WzXDjd6k
RG1AEVzFOvZ9v3NxTRVIco/gdBms0i47ITaJKN86zKGoVTljWcIGHtFM0XEO4/RbaoFlc/DfnHKv
0in5xj1fPFUP1ParOZ3tZWls+6jKjxEnJAVvQguysdmQhnbUbWHtUTXp1zo06K1Sk+mI/MMJWjyV
BM5vfEH1rlaHvdGY464PtGQjR5X21HRRdfsG8XvlU69qorOdRjt0C+SjqQBwgrK6b5qhuMlFU1+s
OBTElMB36csge8jItYbQmljKHY335FwreF+UoK3OdNlvorBoFxEXltdcNc+xDOVb22GmsuH8reLS
JE0PTg0mSYiHCgLcR6e1bgJS/86lCmRpvuRJn2Blsyc9cN6meNNTAHMK11mPsZXRbkxcK0tXL/IN
LBpn3bWIeYtsbC+RSikYUFOCr9WoF4YDPrxtIYR9Y+9jxVOy/qDpjHLVRhzaFFwYMaOXKkPVjgad
plTyJfFhFeNTGg4MfSIyQ+gDGJWmPOCFlFAJCBt2bUIqR5o9TwAJyWmjZKiWxkkX9hPH1TV2KdVB
V5Pk0GY9EUDCWZQmnRvNwD9W6sG9UFVzpWA8ZmTnHIpCvJU49FamIzWaSKV4CEPYHeOYip0DSKz2
9PeedediU8BVU4GwkQodLeamJb6yJZwcjwyeyDj4qi4f9JS76piFX0KQFgty1BZBb1Pzbw2iCTrr
o4l9ah1jtY9AuW5DEb0HfljfsLXSuziGppDTedooNkBodLA5oM/+tQnqb/WARymHR3nVGpeNBSZv
BeHBWFueN6D8UDCsBKJ83DmWfENIH++apoTVOxZA8QazA99fUXUCC3NQcvL6dOaaoadAKsTDsQbE
l10ogdC4Rs+xUXqou43TRzjyC8A4FRZMxqQ6BAVkPvg2wyxY2qEwHyQT3KNRP9dB8jqnfVuVqG6r
3vziZWN3HVUBUYAAnJtazR0uHTK6T5Gqc8wq6b2i2trWokH01rvMLxgSJQdDOM9un1O6w756U5nU
6KvS+FL35itVr5oKi5VBnUmWFhLB53p0mR52Qj9xJn1PnRg3WJ0bF9oFxQXDAsNYG6iFqTTmfdc4
ErAhYEluXuKit/qLhwPPtNzsatoGlQkDdcUmGjV3rdjmV1p5QDOFdwd3Lnn2XeKHO70U0HTC5LnV
TRJBQ3Fr6e6uVFVrXzHC2sdKpGyT2h+PphuUkPdj69yvekeojziFwdAAeqNPV7w2UX2qKOthwkLI
5EexcSY61t72Gu36MmljBAkkbZjZkiy58F2PDJgFDQQk6bpU0YFmd2pnIBjVnUVdWdGqFyZKYdKg
uefVhz7zuZ0GL6o13nKHq9cya9Z+HxLCzkGzMjuf1odGumI1HWNFLR4am8IirNBkOY9KIzvbWYVX
Ubyxd/PgzBybZlEP4EMil6FwIIsfqfBqbu5UhQS1qBLhumB8f0iZvSA4Km8DuAxqUMtT0LjFQVAI
oAExPkh0yrsOrstuSNzVrBsZGmntvFKn+UuDT0+GjvJIIbfc2syFZbrV2rKYEN9ktqmvU0FySeON
xrXyqLWFEUF9nkqLxRviZjPHFXNtKU8O8xKuGE6yMtLxjfZHtZJ2DfU57x4cuKBFQ4daIlcFTlKj
upIq/jS71MSaEat32+sJeCCtWH/WIpg0ulu1shn4y/DDyPG5ECtIkIpOOzwxwQcyTU7BjMH6Jaab
fCSAtHuwDMVDPFE2lPvENOUdubfyTs0gtla6iSqW68eZICVGMnBUt2ROfXGpxN8yMgH6maTNvW/c
W4hml6nmeGvbb6pFw4CE6HmgPkGutYdoekjrj8xPtjLX0gtdFuYfbXCr6+7X1q8/cNvl56z0tEOE
pGQaSESPTH7lOcKLE7q4aYqSWJUptdufHnSLDi8pQO4abvNUbBHhEvSuf6YSCoWO0sdWhziyLqYo
VQps+WPlj8MKQ5FLHTmO8ZeGh8wRC52T8yji/G7ElnhBtrkd2Vs4eLLu6kRgPVWKllszC9sNtsKV
4yLY6yBd/yi2WF8jSIaHok57dPzuUxqabyls8iusCPdsMDBSvPR26Gk81YlDUMek3cBpBKFqD10K
QwizxFd810+NscPAEX+k3sllMvRQFVZwHkL5RF0Rnkb22ouhu41JT99V5sZEkrQZGhKzTC8h9FPZ
22GaXBOvVg41VAC4dPcp4iS9De5lFHYbqOJUoRS1SZkw1Fq2radiUZtLEpW6BmKRt2ibon6xNQx4
Q11X9OV5mTFfIPDKyo+ouJQnh3FWr1EJI+TkVLcpbW+PcatkwHwmoBsafMXW8ro6eC2117TU5Bez
adV1hfF+a1dWgNzsNZ/edg17Y4FtSnAlbDECT+GfbnVb9JK6eYkGyHNKWGhF89TaEa20zOvPJp41
tIhkHx0poeM9fIZyoe/VrpAHiTv7JusIQRDTuLTpKTmJusNE2kWkJPj+9+mJGXTpuq5oPrh4jhhC
TKWlisrSBMV0G687DgCf9rVjMlVDsOYr6pcUPNESyrQFZDfTD1Kj4aP1GMZyg+j3jjbVrT9V5bif
rkojLXdNHVVPGvhJz86Dk/Sge4Z2Y5/aOHROGpJk8sTou6qu++5ZvbiNbWr/tddW24F/4WJG8rve
qeqycGqOHDpr07AMIQA9IlJPT0ndfgyoEUnLo6DVdvbFMbQXcMjB0RDRjwdvjHd4rzHLYqbv9D5k
1VznAl87uGkLYKy5QkBYHZqwNgK4aLoeQ7cGsRCLg9tkaH30FPu/p36LdTy7LZbkE5B8/gQA2ba1
RYHCrdCfexqe5JtkFLWpTBdKM+7cIPKQGyDWaPUo3ZSlaZOQVDVrEJDGRlZKtGXM7Zx696UBo7JS
uzhd214QL62WOoZRx91qzk1m7fOQwyS1/h9f57EcubIt2S+CGQIaU6bWyUwWRU1gJaFVBPTXvwWc
+/p030FPYJUsRaYIRPh2X071So6+jL2iCFaGqcYv3RZnM7OTH6aSxbMus+wgVTRsvLGUG6PtjN1A
6mZt5lGxN5im33AtfGkd4K0e+skXZzm+YaAUKhgOWe67e9LF0SZ0Armzk0ztp9poNwwHBHALYAM8
b8Xd9+tkF4d/aZ58mWTV7mJTtN9JIIZ0bpmBgf9EEtlsLPuzl814rksgZNzKAXdHSrtZ9WUojHSj
ox+eJ6bWZ02nK4nAef3eOvVX2BJ3K5oc9HxLrkHiAb14Io5vcRWEK6JhM3NVAgunoI69c/8bnYW7
OB7spIvVo2dJVVol31ilQSA32nTo/Ksy+vCdE4x5t53mEfOzg9KnKacZlIOGBZRGI7fvieHhjmn0
mEZzm3SPkHYoVoK+3PlC0ijrOPZLJyZt73Qa/itlPZIxinYkwy3cQHOvbRP97CC2ECGPUiShDHG7
GdsjE0p7n2TaVdWTuUP66Y7wJ/n41kawwRnfPse+A5pbZfIi5wPpVLv13tIRpvNWdG+a1noXPh7v
Jofntwipd889nMC2r7a5ZY2f5mQTwVd5edNwomLc6QTZH/AHrMFz7NmOdiXv6nbGuceEaisACG8B
b+513wH4dXgjhHk40A8o/orZtKjMdDsCkiavPtHGIrwfLdN1JunU0JWnksDODqCy2BaO294j1T9M
QOabKSlNCnOGahsxh3zhOMkcIS0e+eSY71GJiDO6zSqK+wphgHh0gla1XrYVvfzT+eylMTqtGvaD
3H0h2DVu+Ja6gdr+Y6SL6wJytoSnroqzbpOFrizmbZzE7kbkc8Ifww+eCP/cB9oJGpT+UqTnEvPP
mUKEm2zoGRxKD0eHb7RXG7BrysdmbTnlT5wsdCV2mFY9Jz6GraU/YgAfbGgsb0de1DtO+pSflkuZ
c1OgtvibcfQak062sP+VBfJh+sN65mh++grqh5s5w4vtJelVU6Pxsh4GMdxJStAQS2I67fr40pjd
+BKXsQY7LfyWJPioatpDNui8d0jiCqJQZR+r5WTsZeBa41GogwKKk40FCqpOxTRnjPEsbMM8MLsA
UJ3W5ZXtwSe6PimsfjwEZWbfHRIWOIaq79C5gkvM2+OYWbx//JBXqWYasXOM8o/tdbzUuk5kdbLh
hOJOgw0gThhNdCjATfSVTGwry4ZPL+pufzaoopT0AWRYEN5M1oVd68sXv/XHHQMumBJjvx+sxr0B
0mdyMMfF9UBPTo1Bv3UX5ymbk50ZyvGzBqnu0hdyQsK+mUwtz1amJxfGVvXVtE37WXsuZZQoKkGJ
S0EUHFLMiqJgP5aK3ndahlPJSt4NGZZg+bT7qn4Mml/umTGGl8hgRN3mfbcLajj3aaHxopbOfdLE
nzwT0y6rDMw/VUJjQCEw3gqoDWsHotxkDOOzHhvomDUyVzpWtHV0mndGoeyPna0DaUXtHId77TMB
cbXDOEXDVZ8veDn7K740/1RoMKCSXKw9O4JSUQzfRmp6nimOhxvdEHxHsBG+LOIZa+odGY0pzQAB
XFHwy1tZ7JJRHx4w4wqDoSxpXBYzr6G0UnNKD2oq487YFqCEcQo9s2mrPH+fKBn/jOW7gK11lkjw
zB2ppo9je5s1Aqt+VWBKmmjFExVPPjKD2jkKjCzLBsYjJ2+uNmv+AVuUu1UoFqsEsMC26gl78Bxu
3EFCAAw8bR2MPty1qp7OYbaEzC3/zQ3sHvIPO0EGj8cY/fZlHLKGypyyPwfzBRcATNaiodeLDSpS
wFBfYQ7mVxSuldNMCCXUQg0y25i9SVKaMxMyU3kpccycSRPFm+VdP0RUqWU2twDh5jOitR3eIxsp
izpb+DwOnG/kngvcXByvaTtwTKvLi126b16Ic8ovJge9Qh/uJsZcjynuq6O9SIEC3c7et45wKIDK
IZPjjrsGWLkysqgKa9jmxM4+MiSH7E7FW1PiKoBhB8faAXCpS3qBYCl8D3W9fauQuoxyoA3Cl3gZ
+jrfpL695S2LJE0kfT1OgX0KEk+nuGmiL2J+u06NfYlK52pzw9nKKUWQ6ZLbkFjFGQozPi0/8w4d
lL/GqSqIgMLcyUlzj4aZGfvWSqbTKBnKVc49GYf6UCrGM00dhicWVYPO+G2rG/Gn7eMDU/50z0Mq
YqG0PMtMnVSdlRjOhTxlvd3thGFMx4mJ4onAFkMh2lj73Ov2gWnle8NuTICjOZXEqe1vZIUfsQal
D9yqrdByxfipmT4ojFnUaRgZnDFIvusOPS46b/+6jnZ9TZcpuwftoFPySwyh/oFhIju03klHDXub
ZmRapTFwxQFnvUydx07KCj86jwMuFnz5MKQEzD9B//Z5Eo4Nn1IQePapiHKxZ9QGYzovr5YoqFyL
Rne9nERJZbY8Qf2HFiKtgyDsT1Ym2j3zIRw+tKZ9yLHQN6U8xqMpzx0vAjfOkbK+ImW6McHKNCNc
2iPUnCP6AAg73R2flAfE59ps8QCDMz+1LqCtiXcLkJMhOoPc+s9Fmx+CKAB/RX3zsUuoHussMGOa
ytje+u1vzbLKXdeOJkKap5heuNlmSoEoVYI6edy+A//ux1BprDxG9o3xs71LoEae0s6yVxLzw0mj
DMfFlqiJr6CjgbbMZIZpJ4CV6ajyI1ABFYFVjCdgfthr7meoQ7CcIWqYC6LhBu2qv7VUyNzGnqYF
b7J1bjr8xvK15WJWuAO9CXBV6CIg6kPtv8G1THG/AZ2xfd97Kxr8WUNkfhnzb2a5B5RVL7ITE1p/
Krxn6U/es5uxpZ02kmKev8YRL95ngUfXmR0DRshpZG1g0/ppsRWUJKxdBa5YlC0sKxy8CLLuOgno
tVke1oJ+Y71NLoPGlrrj3Qv7JCWe08D/trzwW1oaB68BIZDGJRi9ElkKZCF4YCwdZYAPoxk0ktQs
vFWll4d55lIq5YA8YiRpFBhvp/Q42B/OjAxs4rZ7Bxt8wUkaf4MND24l9lmj0L+x8Q1rbygQUAyz
3k5+BSqj77d+OUWHulY0fybgifKRs6FW0dsBr806gSRn7shuiRWN996INMfULrgYiuXHpznIb4td
gKvrlEPGQ1Uo/iSCKpUsNLuP2JyOgZONjyYpKaybypRbh6o48UI+J0khdinWjlMBY/DU5R3Co2jP
zBT4QNGU1IdQKyLaYr0Somabas9al1S7Kfwqy2Was166bMDMeHPAzdWghCuczZHN1pcb66ZNw25f
0zO1YiCQ7q2YwzlDAfYNs9iZz7KnSz4dA2F7cQ17+J5ycF2ngUQa8lPjItUgIIorbc+xmY2MJ9mx
+JH2YjZOjX+H0IkWpD53uvw14Bi1tQw8Dw6K5RkNtDi7Bsqy16tgO2meeTEH29/Tmwh8jv/daPqf
xBR/piWAeRyfztlI6RgnT4BBVBuuBvYOU9XVhX+Zwcq+dBik8Img2hcYP56D2W88GrjBqLt0ZsEe
MjZternd0ERb9d6mni0XVOWOl1QddEK10YvbWcwuSLa/lOxixtTJfqjepfWOz7NohXua/M9Mx1Hj
53WwqxzxN9ftZpvkHZ7nWH4aqrQvlKYq8FUUVWLsQBScZ0qdpYJrVKjwNk3RlSRY/iaSdD2VUqy1
UAIzK6srZyf3pOfx+0zwghdl/+oVxoqEXo5LDauj7wZ22iG1wCPjVEP15RYCl71mlwHIh9ntvG11
XyOXzRflGc4R9ZXoihZ/6lWOaawp4qPP3lBy2Eay9m/JvKExJxiVAZ1i7OHfFwdIjflsa+WCV0GG
uPLIXj3tfExRsgl/OTbajJioXpq/TY91Omi8/Bso5eyUO+TwSjsC9huln9ybomNuqB9jZA53x6ib
1RJATKthl6U8IWNN+RZ2UM6mGfiXRh29+aAr6RRZldR4c9zR/BeJs3KFAsgro9XWvvGtBE8thki6
DrDMsaXKWkrMOA52mI/94pVSlVUSvjqORRdGWVy/2GGINyJ+q8XCbfexfmxrA5+YQ79Qr8l7XjPJ
TBzcf6I44WryePtkdHZq3hvLrvktpSK15z6KtE/VI8wmu1ylsgpfClvJ1yxKokPoe9NaDW/QneQv
103oRB0j4w56bW8sgTc55TfpEh9ajuCceJseo03EHXNnmGiD//tl1wdxyXaLnWeVo2YYKvxsrQ5U
8lQXzyS1KSZRjXaFyPXDtvLvDtBfGoPwu4aRJo59lBlbfRiNLebRmh6g83IhIXVA4w9fQlprTlLO
ytwEeCcVubMu3eitgiWJ50vYpzoBEoZR8qDIRJyiyTfZavArzpZk7jIKIRH56a8Zx1uK2fimpwQH
s35uRpWchaGmssO3shMtC0wg+u4/F2P+VYlNVBIHWfXWt9iP2ns/1B9J40DJpnH+tlwMA4CwNXJ4
zR3bvXdlch/nEVWvCe1kFmhbqa/8Y+M67WGYWuhxOAVfpZ/pu7DWH2S16jvnX7cVb27Y/2373t4Z
cVASqCqqszlfgiA3d0FTYgYyQhi6GeOxbnq04NxOROuj1eQWw95iyEqbqQVP9dYRGP4NkbRGUixA
/Nt9dzYw+x0ts06gpwH2JMmM/y/tsMswptRODfmSZO1lIJKCTL4XERQnGqIzNrv+T+4m5lGzpHWc
mMsxwpl/ibPh7vlFfws56xNp8osjTY7x1wHITfJFrwqtbGLm6odFe61L6kb9LD3UnVv/1A2gq9Q7
rgjG2ZuUSS2UHy5aGnjHwgr7NVCMeuVU3h9P8wWuCZnchBDJzb2YZsMMBc9w2TxMnZQe8EOa3aww
fhL8ORp83qoh5RzFTL5gIYAJzaRQBWN4qk0ESawa6d6gNo0aomr6gitD/VBb3d1J9fsmdZyDCCkA
atHtzh01egKg0aN1+Xwn+kwQn1dqx4IyV6IprihvMyhItGft1zZxLbaGBQdJ4qrhrxli2KJAh/c6
j384uU8ImAJ4YC4cyCyEl9dU3CE6yq1IgQ54SL8d/vNo/BlK+f7Fizh84czLV51HR0ri9fDL2FHc
66wHf8gBMWC8CuacBrFYOIBkA5H9kAKqLPxpLPh0xBYBxchG7E/kb5SF5dewzrHWqlVhMsAMUFto
ia6MKvyQnP2BXrlkXgiXtRASNlbTOeeapeiQ+f10WNaj0CHpCwYdFpO/lfOOVnEUpgsPA3yXjl9h
D+NysSmXKuRganjOk+xrsbISdzqIIDnrwlP7ZOi7p9EnwLnDATz/HLAKuNFsq5owvDVMcuNlxqqr
3BBKNitl2X6EzYydj5A5Rm7XH958srWtZwYhrg306XWMQYOGo+vuPSzBGIEL7btoNNj1db1Hv84f
VjrhCp4FPNSW5MOa3TRl+m5OBC8FpTZmHxpMr6zhhMfqxUc+pnY86/aR6Xw3e2LHQBusPd0i+irQ
sBDQ3UVZKbHH9SKNkzGgnzgloa3Z/GSaaKcVprBwnSqfyGnWPPJ2aB6NS+Db6elsglhm0fDFSYfR
E6zN2IhOfaRFJ2w88clOaKTqWnNaWW3PvptQxgk6YXFwAWKNGk5C3FmNvNBMkMCLreNdLhJ50Yty
hRJjPny2MytLp3wT7JPDEWo+tpLT/BoMAX+wq+fzYXYrtGSkIpN/swz1FOpVQIqYW3CIk7TLdomI
o0uWTOa6gUa8KirugpUu91MPGNPNM+O6fEnzXHvvVpiwU17yVx1HPsZ1ODtiJFtn+c9hDtIZdDXR
wSzR07lpp5ZD6/uXbtgxbtLo+5Jt7kZsuXQIfK9dWNTtyC6oHo3wMcQz5RK05o6RUfSI8VyyA/Xx
lfrRwbD5rlogG+vEsrkzyr7Y0+7VrWGhXx3mdvep4j2bpYN+saUyTjpnYZ7+qXsfiFg3dMGvbavB
J5B4+b1DFMOxnB+JLRS7MnWA2TR6fa4Cc2dnBaHARrpU+HXxZzicapoB1xOW9Z2jFzqdPwV2eXvc
BXo9fjpWEmwSrXuWjBlOix3aDe1jFGSf8ZCMO9DF2UMP6u7VTTglOtlj+QqquHnwyB29LA/9/M/Y
Se+VEdIpjnTvU1mYUVyM1Zuoei8KwAKcsd1NJN85mcmfLkm3de81Cu+G1gNwhfaqQFi9UauwkjE/
teXK8F6Z3XN5hKWcJAh78Be30uK99HwqI0K9uXNk7JjTCbbqXfkQVdrvSHuv9SAgT5Qq80JJ47Yx
NGBpsmmOUTP+XRam2CP1nc1SUDIM8SHS829sofTH6HXdpW1nF9nbskFcLkBE1raNXN7haOMTjEWZ
mWFKoExau6aHV0twe4sy1N+0lqhjNXsbywazCu7Sh8iNVT+7N1oIhqEwC+roAzaHNXe+MiqZQULc
fa/c5DVJSo2bA7vsZTzl6W59sqgZh/dpkQdr5Tb10uowQRzMcBhCf5SZfUiHwDuH8eizzo+nxvfK
f76Equaf6cnxz8uvqjKkvVb14yardZe7MCksbiLuVYczej1FjqS/JeKEeo6aFveyhQsjUM23KdE7
rHcfjC3860Tt7wmnxM1vRyLHoe9eWWhcUBc0fgkAg68Qxu9Nw2QmiTz9YiknwGXWsO4Cgl+1Ia1a
OdobIlR3z3L1obst/i+CxzslmPVCrfBOZTdBgEYSuOlGfdFbt/1mVEypZdplW0Az8PDuxdV6HX6V
ucacPVThKx2q4SsB3bOJDQ5QTlPRtUSJwJzpMWu4gxqryEabaLHwHdqFStc5N42/9nQCNqSZV6Zm
uhdHMlf7h03gFxQTNT60Ri9FBc3pI2Mw6Ft7f07yG7n7aFo7PRe8Ai91Tc1A55E41HzX3kg6DLb1
rNB20Cl/Oul48+lPPWVjjrxc5AP0PvxfjfLcLY62Fd6S7BcWJZPDFejWiAUNw0w9rIi65i/KbRBd
WACYzpXJuijhZ4wjMRie8KLoDw2GR9jGbZKAeA4IC8I82KDSBSfS0/5bMM53FetZm3tV81jMGSmy
LrOTUuMcNo9MgxqfjvC6m0BqRJkNq/qc0dp86YfqSBKHsBCjIqEZG8o71JVtPZ8xIBQizeIPhFL9
hG2cJzx0vRf6FOJDhfXhGRbrseT7JinT67i/++ZY5eTH2+4xg35YOiit3hbxxPmCQua3YWRcOxEu
0xPd3/GhjrYWoEqQ1lq112sFxTnn89H0xV+GARkkTKQtFnPjbC4HVTyd6X1qGfQZmmmdA45pLy7Z
o8ty6UlAv8iSaDyBibkURn1v2yH5Vfj+cM9L652OOY/WRoN6GvoEThV5Ycp3LI00Udll68UGOFbV
1jF4snDckGiX8Lij0HxMbs8T2wXfwiS/iILMqO32aHij1pPN1MID3/z41kbO7wRTC+cjVe3iIAb1
3CVMbVKjPTcX6XThURelfYKloe/6AhcVzqrqg0AzkLi8RSLGk6HSqNnYtR895YxHsultPBpwhSke
rj6yVOrnORL2orfdB7FsxNbUTTf4lah9cBL5YeZJsg9UFm5FYrxOhdp7XYijyaj+c+E7neDddtkx
jeiaXH5zqHmT2hktL1SBVIDGqwozFJflV5nnXdBV4wMlyMMFt5J3INZ6Wh5p3LVTMzJ2fUJMYbks
7uN/H4bA8NfZVDOXBgu4BmReeIc4pKsU7MZWAe25hGYYHrWIRMyDYLLxraUlBwq7UWxjmWRXMLH1
f46ScQ0RvNdG+1K1EzyGqU6ZzIZAP+f//t//eWANOkgTD1mF9elh33s2/Gvsvf0r3rfyBViGRbVg
Pum0KFBY9+L0/t6J8HJZWfvhS1ueWyszmarigK/T4MfyqEvRwWSCm8P0350p797AGq+YwEeP5VHr
Mz4u+qk/LbNItlpPPm7pgWjYERdyc9Aii9tZaDfuebnYcBDwmIPSt6vg5E5gNayJ2GPKyYwSLM37
DAbT2S8fSrKmxHjHSFvLUbKSdklYHnQVbximxQ87JqPtoYevFJSHdJXYDcXcdM/vsyqLH7nWx4+G
0Xlg2CUtaC0cg6rjg7TMRa2kuNTVSBfw//vw399d/rCYjbLq//xhPvtYADJlUcrro0vikLwmzEFW
lF5YKOrlcP33N5bfzaW/jtIpPv/X162O4F0nThgZ1WlZv8D/AnoPyRmQrmXFUk74ykEyhk4+dXuy
JBk7uZxkhDeMW0473WseputmoO+xNZoOhz3xlagHQFvFyt+STdffXS3Em9d7Xxmw6uXoHlXFgDXc
IYPRGjeRU9dF0sva27YRXFsr8LaR7Mqn00GLKVg+f2f4NA3bjE8EwX3uar+0xo1+VsSJ1qJB9CA4
Yu/pEKCsMSQpjk+IjV5A2TDh3ms/Qe02NQ5lSWIyIfa6XVZE6lAXLJCOVrsHt3csiChVebFoDKLw
xQVyb1AW7pjIhNV8RG/tsLg5fX5zczt+k+0OpQz2CUSQtcht+YoV748fOx8VIZ6zQt0+msC4ts3Q
qlsfE7YxZs3JHQoQ/Nqkf6U1/gtG4Xc/NnMiydra1jv5asV0hgUBMzHqZDmGplt8RXkEfSKbaQ+a
pg4+VTw3F7IQbO083GQ411/yuPG4i0PLKFObmDY+3y12LioepB4cvagnte2k4Za9TIu0iFT57/rN
reBXoKk/ZlTnl8zmBDzQGbIeGDLtlN0n7GrsYFOp2iIjNKjt4lr2g9EhYpd7b6AvYBOlU/NqYeLY
Jeidnm/KezJ5f8CTj19G9mqWXjMrgmjqvqbf4qdW4NouJN2osRGHH9BbTcamyCtshdyLK2jmzeMw
3i2joHQq3VVl0OU4GU+deMVtbJ0bq3y5swx2lDTU59+1ls/nZA8QHhIHK0mb7TIbZwv+gAgjPn7x
yAhxCRWjePKjvFE7ElGqLf45nSXs5v2pQ8TDwcrUwYbs1SokF+ZRBix2lb0KOZjrroqzZxoDBe6b
koyUoGE00DrxCgyufQuH4K/n5O19mPzoEg1ib+ft76waw6+YqM9GYwFdR0V09YA6XFhd7VWgczOf
g6UVIyuOcqLc1poZ35cLUdHhVsstbZjEJEOrpgiJJNOGtC8MuSBO7tp8Wf4s1Ju9HWs4ZOa/vnxd
6rLaT4IpyvJn8eHpFJxEzco2QXqUQ94Cjxrjj1jQLjcFbnSqhRZ/jAhZeV0krzbTm29KfS5fpZjI
unLnfmPL8YOnq9+S8feOSd+2HPpTd10rrXzDC6edtWii7E9Wb8uXVHIOLEfS+En3aTw6qL/zWdVu
OXMx9v3Z4CAeGLdxnF3sm7WN859P+Xzg/K1HtfmjjwI6DEfcWRAS+kcYm39YyI0f7IoJ9ScqvdGv
ysjfo/I3iE7KNQnhJBFyoFV59Uuu9yFpkiLYilnTJhR2K21XvcVNTDircoP9ROXem8vDzTQZiN3s
D5Yjnuk4+ktQ2fgGi/qINWMiVDG2G+ah3YG1sESRxL8RFzoJCjsR9+VieyyBhSrz3SzNvJB/Hbe0
lxN2nS9VK8QZcZvOkYD9PoGlLCCTxSemW6Mw1cwvMYSSiS2PSOUZ55Ul5UAeedsmsctAZdA+2F/9
0CdTPoAISd6zGfQMWJunIC3NZy04HwthbpoZlRKUrr/1oqx6ofNsuODQInNce8OaQNCRjhDzPtj9
Y6ry8JZbEvoL+b51QudmQNplGA9pkb37EfbvIqFurB4d96iJgUsc9kf2a4sBr+qoSG5CaGTLZn9x
5nF0VxskP7ntcnvXKy36kfZEIPsS63xYy3Llmo06AWVQpy60tyy8zm1ZaqPB/kramoE+3BmiakR5
qAbw4U6xyq3Bf3bVPrWbnUNSa1ObiGxxSonQ8s8ZrqFObWldux5ZqrI4ii2irFEAKOG84VG/i0Zb
4AFah6fFLWRMRX72bcqJJ/uznhTlchxB8SV0NEBnJK6EitwXXRicecOwWGH/cc+DcKlukxQvzgUt
o6xYg5NUnZaLmIsthYUV4UVVoDLG0LugjNJiD2bo6JV06JWe/yGz8ZkxbtgINr5b1576T5/66q7d
933nwvP3p2seYg+ohsz+LPrQWztEMw62JFMrY4mNJKQi0YLggSU6HI6hSSNa1zHG7RBnfSMSXxR7
4hgbi+i8XCYXrleEmw4TgBYiFDgCzguHiCoQ9aboyk9sS8z3EuUcm2SiSbHVxB4EAEwKU4e4Nl8Y
HzaHPqygT9GtkFcjFsGECq2NPkJBSjAYm9iv9vTKQB/SfXPfGLq1GYzZw184ctNNBIJMzABXUg2M
7OZa5ghW1s8iRjPmvvpZNgRah5KTaVQrmnan6JMscH1MBrq2Gy2hFDuMST3RjG2s2ClYlPNV8XcT
hD7HJMO6UylOkmOMzlpZlxtfiv4qO3vcM1j0D17ocUTNYAy6NpTHIM2htYf+wG0T27ma09UYXiLE
K/pC2KWioJIReElVON6zDmudrqxfdWl5r5zWts1yEqVlGcAQLu24niWNpk7PUfFLuNq2DQmtLW+6
qAGBRuPjs6hEdBZiMnbK69iFQwEM7MZ6lWXj7d2xeZLxExxFcDmaPXSHzAFHT3ElQy3H8i6RQg0Y
JcOfubnRmLrvqMr6piKFjALvlh/EIsBCpOHXfEeD9TCnV2x1T5R3VmPv/HOJ1Pjd6cB6OZk4J4P6
GHSNWYIlwlMXjH9J8FoXtitIZUJddObXTLp94ltlPuuruvnNnTWvwH92psngPcFjRGmChdyalNtM
c40DA2Kb2SdFY+moq11HseDGgyZ0NIcSn/wcfoJ/KrDKjSe7k8O29/k8WzFD7rwp1vWY0atkoKi7
XiO3MgrnMASs9y5rH1MSrNm0NdyRB3Nrzac2O+gx+cRptmvD+suvDefgBfz5Eo+4XCcmqK+ecTVW
3YQoF1a1uk1uY2YJBKWSIE1gIb5QxrwyR5Mg6xRwB6OcHUC/X6eXZQ9ulPAKc6RMBk+5dXDMxjws
8+uojCmqpL1pZ9IS9uzK4ikx+NSNV1wXt4idwldK9AybJqzh31qnZrGKdqpNOQQ2Ln+osCRQrdMk
EpLsQfo3pcEsktrw5U7goISZpXcE+InoDF4pU+rXKChhEETYuQ6ByawTq0ZBgnEpCb3Gwh1+0OfB
htiDhxL0VrR2GA/PoAD4wUWOEWLeb04tM1Y9mfkdznhCL62/aZS1+aNTXbT5gvmtWVd58nfRkCe/
17eDmhD6o4lF06zPdqB0Gimsr3K2mTNo+TsIO6Cmj+QaBzjAVJWFsdRuHnUbp9+EoFBxyMIfU5+r
NUK7filyjW1KZzBngntUeYb23dfL710zmo8kH+2TbKGgdV1POykfZK13aP1qe+uaYoE4OGxp91pB
Us2xOKdQh+G/Tr1+NEpGbn6WD+dGd8w3hbzHj1h/+rQ40LlDP5WTVO/YzdAGwrmB3jZKtEIKskVQ
vLl+mvK+Y97mxs3BmWeXAUGsFYZYqoddDxOQxW1WzYJCV0JuBACChcvhRV/mU1bWr0b2OBt7Pq1i
1ebrQRgcu0m6h7BFXgjX/1Abe9eb36fjwRbtyCxT9BvW5o7NbB7u+66RO9+rebWI+BAW0YYtxaLy
WsbT96ZmbJPDigioTIFG2NLEiM1E1eEpbGsMoxCWrmAifPJQ9Isnwg+2Qeu4h8owJQoQbusmNbT7
wknJnPE+INLdebKYlHRGz0GsvDV47y7IIY8iRWylvTCnamxE6ABBtwkLFb2namCBT6zvDgjudeHn
/RHeKD8ksy4m8YW+/kf2A7qL9ijzX85MsqmyYY1JPfkO3fENZDDgu0hrt+jSxT0gkrrOy+DDSNix
InoP9wn7xSyhehvbGNTZ4WawYp+FzbKOW9pu0nj7/2eYguP+b4a18BwL75+rQy63he8aME7/L4Z1
VsKN8isbXFcykZ9LOvVq9P7PunIOozeal9yxTn6eBgcijUfVNt98xGT2ZzRcU/BYbAPNrnE3JUhM
ljvsIs15LfjvXqem3S+Acj8dp8vU/yUebYL2yXm7xq4ERUGzUj5gqkUnTLl1XzCmbKeIOH7Scoog
RLSxAqfZ6BaBPTE5MewH5u5NBrdHxao7VX0b7JKgNVdFBkEhCrSfbBcCzlDK4d0aYnKMnP2/7j8E
6YycdMwLWRGDyhQLOs8zcyRYwn31wxKQHph/VSvcLNkeYdDbOGMFxFIa045mDYZN3eTdRCTvy62h
rrNi54fk3EXjqtNAYALPM0N9hjONgwujFLbiHfJHCi246S5VNiN73WUpBcy0HUwpzrbdXOqBSkqm
ReKkTeJ3annpXrAZP2Yjeqw9JpuO5jBG0wjpIOF+idl4hUq4p5XNeWd0RciY3sW6mvz9MoVwu0Zd
oTcdw8wQD2nhBu8wNsPOZnGhLey1gYT4LDAV5GWiwduAexPAyV0vUMMqJQWAjCZJAnHwo4ZZW3ND
gz6Zd9ZW00wHaMOKkXCxDn0sq/gyPtQMKsK3Yh6Z2D0VDtOtHZuc+TDD7A2nQpjLLOTCuLzpgf8r
TMhcgmNqtBL0VpOmbxVDRsCO1bBx6+8p70iM1mZ9J57wxw7C3zRvWtd+0J9eoVtrDrXFPUczO+YR
4VlsnWDtkMMek0mB5wTClvgPdo8oq9sN+ysKpfy0PDbGSGWoTlT96Ebhuhob2HRlbT4HCwyjl7nx
/t8kUW2tCzSSGSyzXBawDCmzR+R4GhaCWO6dsWmugCUGegFv+rxJz4rT/9B1XstxI2uXfSJEJEzC
3Jb3hqRISjcIuYb3Cfv0/wLU5+ifmZgbRFVRrRbJKmTm/vZe29NdCtOsNmcaz9Pl0koVnHXKnWaO
ZTRf0IdYMuhW2/Bt0ucmhwf/p/ERW2pgNq2p1fLa3y+k0R0shLiHkj/lOG/s7E0wMq9mrhn3vhHG
XZTxuaGlDFPGf15q00heE2JY+n9fynVqXA0SWbtkKPCCa/aHXcTCXQMq+leP1VkWaWfOaywXU3hP
oab4PcJ0kL2rcEDZVjaiZdvqu4pUyobmpOzUJvppgDvQ+dUtqcyOFijgkWuo2SEx+6Y9edRKB5pR
XoskLuksVf9eltcqJuN7C3urP1MeCw48x8JEjCuy5OYAjflziXMgXmbn89MXun2p9d9/N1dmKU5m
w/GssAlJIRg3d0pTBozWCRNfO3Q2YR+Ye3OWf21uXUR7T33Pthk4bbQdGqpWUr3SkVB8e+dETDcW
AKSMWiiQ82Cmj32TwkiTyqm82g8Njej6fAijPqk5m/Oj5Wmoc4/BCdVd6rChPbAZ1U1NhnXXO22Y
Nx/+txA/KRlsjAK91A5V3+Wvg9nTJ1qEELaw6fN2HH1K6zHHRnoONsmOvEukEh5RMXWwDYcyTDu3
MWcg+bUcrO90rmd8NMDpNDLCLTBiMFp7xus4auELElv2ajbQ71I4HUAfwB1aFUflRX3/I8kjdwSo
nRHmurJxrrB1+ED0io5vu6quMnSKYZVaorqGVvK7sZM5Kx+x+BYy8C9T3AGZDaP04sj4UevFeNSZ
IiOQVkASPFe/DqNmjavl4XLBlLILVKNvFmSA0KtuNUZxdGmUf6WrTX/UgnB0JcaElF8ZnCNBxe9U
5yuFe+TmlUpstHZWDELDDS8N51CvVdk7/1F0xBUZbbGs/mBHFpAH7WtrnaHZbW23NqkpHyKgPHDM
Mk19STmSr5t0rHdx/B1AT/+WC/+fttTVedQ8BugFlKkpa5OXMiTjAAvK3jaQSWj0jKetOQMV6Pcx
ycjDCDVCqW9rwuffOhzXrUYx8Qg7DlfDdYpnA+McxlNDnm/SUQ73ceC+XRc2Aa0OEFjQCjJXTX5I
xxSfV/AlT3hL9wNK8VAa9242ZNFUhJ/F2PbK2hgy6U8DRUY0KTqRdaFILTizluo3X+f3NhipccxC
R3vovWfuQZB0hJubCNJZCmldU9Gq7Izh4ps50fk5NV9j1tu4nQnusMAB1ci7tFmWohnwCC+N9JfD
IbOfCrGj/jrhjDN+zUXpP7KYJbRLsztRzPTeMU7etE1Dtdr8tLKxuqsIa3QvJQOx0TCCM4axt2Ci
M033BUM1hnZPYhX5hQ8rJuuIXWhgedmqneCIwZNBaw1l3iP1UqCmUxzzLAO2lnb5o5rHs03tqp3b
ei5mN6pkrVKLN1ku5nkNtbAemeSzZFKIJM7TPzA7PYB7PjGgzr3gS6SZG2tgj586YM+jOPX3yqjH
VaxS+TpRnNZalXzkgVPusmqi2jGnupAcjVN30a9JgyPqR+MTxMp0siDcYL4bMsAhWoZhGwbj1XD6
L9xHrnboau8dM0Nmu1q5sYz+HfNuccgMv7ouF0Uv1MBHDu5dZhHJ0oLoiGcouWh1TFSEAHi7Wh5W
5MXXfcoPuQjURBqQP9PaJ+G1/odb55+5VD1mRwsywCRIVrDMUP21kmZNDB+KyRVHBlAMUQ1Hq2PO
7BByWyLBGlSHHbA+HNVBEu5tTQ9WqVOJA76RL0Ho2WxbufS2Q7IRxehs2IT6A4uG0mXpTKKfwHzC
R+fYcqO7bMHnzRmH6iExUcxnc380lkAgIvifpmF1Zw966VFvrVvQYcVeqO/Lb3VACcYOI5J9w64P
3797cZSE2uWGp1HmIG8zQ3hH9muPbIbGdfYdlNB4ajRNf+pK6M/KpdHMt/jBWy6/eLSPQ93XzomR
78+c7GPjv+q02xP6H1+Tm+gc9Wdo3XCLWIUqc3jDOd5Fny/RbI9YLhSuQ7kFG7JDPATd2joI75wh
L0y97WNaDydtaMka+MNLhIZ2FdlAcF5VsjhjqX5lVld96JLVn5OzdansjGyKNzA4SXry2niJUs17
IGdGbyNGuCGmNteAX7RkcCacT7mueihsWXAelN2vltwmVkcmyUL2W6GEd1ouFSBg1Fv3BglPfmSJ
Za7t3DGPQ+O056QAXhAl1LuiaYM9DqmZEz3zkgBI+XZxxy8+ed0G2+Oag77Vi1C72bNUlJWzazRE
+NuQUG0hNNKDzayb+tyqo7zAK2vWRvZVh8axwnVQ5geI+6whrMmFnEevNuUm67bpIHlXdXNfLq6a
eWUOB54hgj6TTlRBQQyns3jHaWCdOCHWEOo6J210X2wfyACY/0AY086e8CKZ7j5pFB8oLLb3gUhG
GSJp8lHuZto29IIkUHiuF0NMLNO1z1wsjq1XHXf0KvVxLbu9HR5Rwin3HTNUFnY+bjS0Z6st2FHm
klaDUD48HWBpQYkGxpzkmhvyByFObtEqx+vpGNXRqEgcB6nmA0RjUtBYNo7xCZOmlXQfQ2q5O5TU
alcZpli1jOxPRFSLNfmI5qCPg/PiOIKlwWx3BkLVpSX3tA64JZueCWxTY3+dag05vvkpIzX23OXo
MoObn5L+7CkWHdCLvmOqOCoYdS/F1Oirqin4JWPmJ1LF54j4IEz/VLub+ayJGs4dIqKD7lQT6xY3
BxPy2aZm4yY0/7O2em3flMK+WF1S7vAOhdshbNtrkGABLJwRRaxjSruva+cl9gr10GxpXkmVBPuh
UPIwDl10a7PyGMcjlGYpkTVTEgcHo822FXkD0HB4aOqor3aJ0wra8XB8dR2kSTN1N53N9C83fnei
wT6U5PmDvVNxRVZ8rbhXhdQS39nDgC1z0xivqE9BcGNoZ9HbLyNc4rsonJvV4fMhyrJJ6t68hHEE
QK1tvXsIRk2IrHgx4NoSpMUOQzCn5qabQLkjhvmUQpFgmCmHVTXd+3h8qzoI0U6s//Dm8VYnfjEk
v44RtZ5haOUbZ77H/b2YBolBIsGFalYu3s8vQu+eVlnylpwveYB7edKD09+XSM3vrcjqPsyUVWXQ
o+85RI2VSlTyLtISQaVyzCdGj2gtqmBY2UNUbSl9rd+U7rtnhNIMKX2cXboz9Zu8XOtgCMRe0h45
gjLGsX9EUUOliCPuhi9hloVeenZA0RSwa3i4XNw5J7PcBP7/X/b+/jf4J7Oj1ymAav/5G5ZHNsLx
//PXRpXFeZVxS3PUM3hNFGmcl0vQEr8grMlzkj73tAiyTSKCr4D1i5DmJ7YPsXMNbMBsveFlTBH0
9hZ2/ktaOv1xeQYJvL0R+29vpkeDTdBsDZ0kDZyv7EN49ikN3eKL1Rzspsn2MRb3p6ppBq9tA7ur
wc6BWehX4MME2Kch3geiEZsR2WKfeXr1rBm9xl1n3mRfFdxzyeh6kZHcuq6qnt1QkqQlQBypsWbP
yqAkcbUW4P9/ny+PKvF90s1wVzArWDPmJm/kIJWuGDLa264O2Oc6Kcv5chHM5AZ2nIZvjj8yV9/m
jnPmOzpMU0L4rmfmHtsDBQet09GooHoQTXzh7wXfvtHihC27s90VRL4jNya6t7yQ6jn7/Emg73tl
ck2iILkuj7gZuruAXdcKu5B5wPL2jR6sUG6kGfCT9dEkYhsGChO89lYP3auQon1Og3ovEtW/6sZb
N07xo2hHeczt4esCivNnSkahMO36xBs3juN6j673xw3zzobbLuVoldan66pvMbpNJbO9KS3PcQhB
q0qEeDH/odXW/t7Gzkft19RNm72lnxQhagFm9yrwY15aoY5GjQjnZjR6oB2RHK969xyWPd9MNwbb
xXbCzPQQaoNi4I3rxHPtA77H9gkJyPgyf02x11kJmg7OAaiJPdBpiln7ieMfxj7SjGn6gruDOmPL
CSG4hsWtqX3Mdk0MJYSqBOTYyt9gfabkRVbDD7P7J1RkbHsNr+BAQxfDZ+4BREZWcQYnGEmD6T4x
GxYi4P7l19ivsptSxouRaoQhZ1BJZxTJaZrPLhy32wNB/uCCERB+WlL/glDWbDQwUvsgKtLXKmY1
F3Q+bagVsvdNLRrKRLPf7fxGNTLtGWOcPfT8o3fMPvsLnhCqtTr3ZUDo0S2Ay7oxWMxbMZPKUCuf
mOWg8bjDF95yvPMDfQguldM+65DknW+aHqdjiQOpdS9GF5LrTEhm+yHkauV76dooe3LFbUi3RriN
u2n4CBlSSCZDd3sM5L0wPyJgv48iS6uHJvbL/xPSvLqZbr+txFQ+l4sNVnY3ljZI/ybGwIr6grWc
u3U0h2VSWaPxQ2ILNq0J5oZlhKNQVKo31+w/Ch3wfZ7rl5JcXxgDVjJLzvIl1cuBl38dMcradKF+
h1c+bHuz77Y6bqFVUNjiUvRgfPBeVjfLhJpkUCvxGNO+2NpDELyMPWpZl9faKzfuYV0BsDgyuJhX
Axf/epc115479HV5OmJW1uLEYZXgi07pa9tMIgFjtWivVj6017S3j85sWvOnSg4cEvlCqzew3TDL
7rxJ+sdJOYxX6KknO118wbBBljg1XuOZgAuNbnjGxBcWHi4miebN1U9hSxhqXUMea+vS3xepYsMV
djg0TG/asjiaK1Yk84y0sAonC6BY4tr10bBCh/KQpnm6qecfs5OXUzfL4aAiBK3vMrOi+K6UwxEo
Zf9sKkNfBRMHnQR6IXZj400wTLkNky8OQavK2VqNNaON1KmiNI4OAFt9Th2Sg1DG91ZkFxLGWNqr
7rNsUM0iWnFX3PmnnaSr+AyAiq6mOdvgMUCMJu8ltuxPIpXVXfPd6T2kHlt3wbc6Eez3Liw4zNDH
WMFDvI7UnXge++OlnTFn7OYl/vDakgiJJ+L0s/uwjrX+VFk6jEMFeQ/x+Fpb3gonjjw6Y70VjrK2
JQsyECewQkBiklsuIt5Bsy03HNGlcNtWnvmUsWVs25xEIY3f/oG2b/LVM7uxtyCuqa47LEpIaLbX
op7EsaQg6bq85EW9t7J9RYn2bHJjuG/RxmNCAmopN9CS5Mqh599HBdxRqPoD8S6O6UYcFifT1y5l
lXHPkCo6LbAv6szJZln6MesjQuaT+TNBvYihASWB+S6xhD5drWPmn2n3VvP9Y29P/W0BJy3/hMk1
QtpltA0IYFPS6sC3nhVwjGjCoUDeHSBrk+vkWnQcnCeNxWP5Q2nM6rjqqV6BPxHefX1o3pqCwg6I
M8G+lLhX6vkSDJbx55EVgzldIZmdBrOF29+JK/ePdVa43P9G4FfLS8vFHzjFh2wIYLpM2dWajV3L
I29+SrK93/S9T8/mf7/qZRygCoFjY/nXATCvNswI1Gb5ZS6vLZfl2zeD6IusYUH9+U54t+5MLEqr
3iz6k94O/Wl5ZP73EfgwPvC1iWcIfvdxCNx9VuYJMQFIbctfko+Y2AbYx/N5abovF43AjT8Qf1+e
ddY3z2WmpsFQ0sepfEVj6OfEQPGbU6Sw8TH2ZXDrecc/CMWJAw6/baB13imtMOly2GY1lQ6INfY8
eFC0V2Ne3+LhVY6PLGTAYc+p/r7jEOFSV7ir29gOTkUDmE653ACXRlWPSK+2bqvPpaMN+O+57g1t
ZWDSPjmWcC8lslhF4OTkixAZ2Azw7jlVv6KnZiTGrZilx33YXM+APPXtVPQdAWZ2+gPjb08E/HZC
vV9ZVVkcLEeYF+GUt1K6GlUlCfyiuT4Hf8LPrBBXKA67IDIsgh/ygJYlD0D5NFZJ3wSdzSAAVYGH
qsvS05TTVjgl4UnaQX7gu/3q0RvEclei8ybklpanLozbJ0AgxMD+Gjm6scPBRDiFc8UWllwL7Zgt
PFu2ikkV04ZShQY8Dp8aqxpWv26DoiLQ8q8nmJ3nzjAqWtyi8bNvGcSH5rRJcEGjPXX5e40/Qyec
kr1FMbvI2oFLn3mjhoiRBMzDfCyrrHJ9ktiHPOMfFXeaEwOXoyZHD8SLbRpqX8cdhy0s3eKMLImQ
oFvAvqZ3Fv3fCDgehSUZt205zxwnF/Zhw3F6u2R9TO2C2K0OoAIbOLDVcBty39voWYGN36XQC+3m
B9k1PL1JjwM8zZ76eCj9Kbjyphzp4h3bTZB55VeNwPRap5VwgS0sly5+LqrmKM1vmMSK56C9GYnu
nERTXuwZ7ZHZ3Tqua6TaKtG8s+ZyY+pKVCW1dCA0LBOArgjEMFVMzkY0feIedk5AdJ501MqrybyL
qKZ3WPooC4ebGGg0dvKkEHDUFqc0m9uYwIAgPBZ4r7xtVInqNGWVt6lk3RyMqPXXnWEYx8QlAepM
lrHRaBi/sLpZ98qhrAOo2skHBXFMO5GclwtYEGqUsrjYUsQRn2vDY5JkxwnelMnZVX609yGATPDT
ySmY5iaeg92mUdxblTobiW99N2Dm4XfSxi457yhGo2A2aEyp/aIS7cBy06ySyZCM9hPn4qZRvInx
l94M+HTlJFx3ZQX5RxRfJvIjJ8pnOBHHuUueIrKoWa0pS3LYEpvSZogwZ02KZp9HyB0ASRYqyeCD
1pV5Y7yp3q42pVeJ7ey92aUOG+qkGM5jZZY/CgFxwpxofEjgtqALBNmRlD2bg37ynssFDNLT5Z96
oRs+fdguR35/VGezHJuznC9hVn6onhGYFhblK11qu4Qc5xpwRrhjw1tuqcsuv0wczvFvyIx1KK63
ME/ZAPRlb10kmHZ/t7A4lwsYhOSSUW9y+ft0ebS8FljutujYF/kwRAcxDps+zMabdOIv5mAGJOA3
8fxpDCRUaFgQ1paxWAssMwuefwQL29O0dZA77BoD9avNxaucHNx3UHHWDhpIu5oDBS6GI9q7QFxX
ngALZSgd9mQQsYbHVbP541mU4GU3QyK+95pv/wq0du+B8lxunFpNwDNwib+IiqFbFp3Jn5i7svTa
9dvopmxkM+ovGTv/DieZbjMUL5TChN+atITBJwaG0qQD5iFJ91P6UUKewv1hW6JkUBk1dCWq9n0y
C1ZkyAB2WehnqFzlB9mTY4xseyDtyyZfH//wHvPKPSzDZ2I30G6r0qI1OX2iQRa4EKMeNGICw1WP
xC52k4RU5nhAx2lucZhVQPc+TBEqPPi80pRmc6v7lLOPToNKATQQ+lXm7CvIju9AZe+V7pknRAcM
6z5LV5a2DccHgnEt6tDgOsSTLe5s3eQEj2bMwocd3aLU/SGSCYKl5YqDq/SB8pO+e3Xdbc32EZjM
iXcUlTq4/99yUyYw5Lti19vatK3xYp1hGZy9PvY+NQ3CKMEy86Zk0bzqdn+RKjW2dWyEm6VPMaib
Z1p1PzC0Zl88CKVVMV1Zwts3eg1+CGyePw1X7pWjaFMQJLBbAy3Og8bzPaGORHct7og+Qe7AgEHg
pKBhUxso34LATciYAlw3LDaNo7VJcFUeEoFMvQhYTmzsqFuwjmFghYcR1enC+Z+zHNYK+tmZoP+K
SOOwMHTZ7MjIzhzuTTBebbeLo9QAQOCQ8irUm8HSBrvMYbYzv16lFL237CaOBuj+T+Y9a2ZjJjcu
/Jluru6Mh5ytm6O4d2zWINl3Hw2nC0625K9zKzO/4pP7yrzRfnbqJaupDTPw6eptNrxWWROtikkN
Pwe8jwaVBx+TTjkSFQy7lHHxy4T2PZoS7oQz3ZbbEKNAbRv5ICSBgGXFGuw57gHjqGlMSGTrpffY
sWa9cXzzGCUfRVj/xM1jgs+g8BRlpNn4QGm+W2xMIJ/qP71sfK8qYq/su6tNNmTNc3IUngFBThZ7
HEGyqfoKSPjIPDP4ic5feS0hje+B19g/o6y/hy/mGLsht2X94OWZ/jPWi19NLZ1PnCG8m2vVv7me
xMCr47J09H66B2463ZdHVpWUa6HSeodlcO9Y5m3E7MRMvKbhKSDZmQf66ygLa5tGVXlNtEI7MszP
IesC0wvGZNi0SXhoMZafahPnWEjelENR8ylpRzvGY44qYjr1Z+TNkDS67Fa0S1Tbeo5xGcDn2spy
3hDvyychAKpyfYIJnH31MOseDeM2amQcKHee3T6WS5CSKF+WgATLDLsCPGpdBSNlmlsQahmHG0oV
uqMd1Pq7LrN65adZdl2+KkeIpX45IWvF4v1zea3qa1LUhc0dlZzmhsysvSk1zdmAiRrIc+O3AzzF
eB0K2as60mnljFs31B9EpXhrJ6OcaEK1Y5KWQ3ko3YwAtCbgwee0upgkZN9iD20/gbAfFFKeFL/O
lxyRMx6K7G1I/e9eXqtzVqN1EKtSD6Npt0M9kZKz2KgbA5NxrxnfsoQm2sFJX4JCTLfRqOqb3ouf
GtOwH8pJcZliY88nS/zxsjMrIWobxPe/rw8+jSkjyY+9XrNxCvQAMmYj06Oqx3RXhn739IWI9/Ae
4e8ULbMr9kr23ggUYgfUW0gzTnDoikp/KZ3cXHmW/0AehzegAQqLkCM/g9J8i/38H7SJ6uDPc8rO
aXeZN2xZvhRzhpbunDJi0tT1T2bb4a2vO3/dmCOgHid5I93Zbo2ICeXy40laa7yLNDl7Gocl4eBL
YmTf7QkzGqcagysTxIJMpAXqvOlt/5CXbonMbYN4ckhiJ05mX/hGCS2G7ZcsaCWdcxMTB7fXH31N
x+DSLdD4UBcGPJyllnZ7tQ2Y33xQo6XfekNERFaj7qO3PG0fFQPW+PmpB/xqDYPGOy1PcxMtLVQP
e+wxY/OTLCZCeYWTnPKsHt9M+ujlrMMwOKNjeHI5Xfud/ghQzNje41ynJ7wmOS/Fo6v77KqIw67n
wbVn5cUzn6goqMokPLbdaD8zJPSVnIJfAfrtKaiCfqde2THYRoIVQjbvNKCsmAOORzeZ3rqWVpSM
gqkLhazGFQjBjr4B/FfoQ+5cNAzGI8YxyU7CdNt6oxx3ZNhljTeKf1/VHK6HwJo9xnjmVB4DePsv
ZuLikRhBLNM/w+AKBcZhf3P0mTesQAjHP5BKbxpgtmdbNvxjAks9WzF+7zqHo0bTqZNdBjslAvlr
NNwPoQXjFYS6Ac/J7XYlat6KvU90T9y4o/UBRmuPRw1FOCG5mfn+tYQCym0AFV3zvPI984XLvbbX
ORrztCloHC4S4xfWoOlVxh7n76byf43mP2ZcRz8H3B/rRA4GTbtudNQTGje0WnYv6N36ynKk/yvk
vSGd7pftYgjHg/pgGJzv2xoCrBmXTKmYVqDF4kUhBv1PiS0jdVT7Kxg5mGUTfll3Nmh0mj9e+6on
Es62xe7xaC0caLtXX1pDT14nq4roKcB/pWjTkOs/A/uhtdbSmANzHUV+Uo0VUP+Z2+EGX7uMnmEb
Z9yf05pe69OuzXx6ZKzcVGuDWUne1dg74rihdtP9UE2+ncByHsWsuObpOmkc9QNz9Vd88m8gPEE+
luN4q6IEH0ZV0H0jAzUXnb2IQC9P0NEebuVPN4+07QGzars17ZKtvW6IrRuNwbPL0cXi0TjwbjDX
PaS9tcSFd2gtj/A11VYnF/Rfgy5NihtrIsZNgi9CPIK4AW7zvx9YCWO4vrz3GOBeDd6G4NqRXxD1
mBJYwXWodHuHgQIK11CWLrONW1C66U+/ce9Fd1RjmWMFrKDB19U+BzaycsEgfTNocK3GSP9RNfmv
hJgrEf+4eWIJkdvqZUmTNDJMLw0zXn2oboS+xfFvJEbGLJ/LBtiTzu+upOCOIHl3ibC6AOm8oKnk
3xy9/JmXDjkeU/MPaUuEIPXlY8CX8JX8CVWkwtk0Y24/I7YSb8a5IHv9AqCLKUahDweJxnvmgHXS
58gjRdgQmJ3m7nY0+Mgws3cWUiCgww5vsx7L98QHhVjGuUOFeS/ftUD/jHNYissXY2LyWpQGX6Zo
mF6E9a4q99TQIPPKAmbQIEITQ15PhIL1N0j56tCb6WPBv2dYulY19lwQPpZFvDhqNqXvCnZFEX6v
TkthhuTIpFNAP4EgqK1T1hF2o2LzR4LPh2C19bIIokZZh68cJ98SNLnz6LLYl+xcu5L7rpBp9YNl
aJcXDGydrvtkYEzX8URAT1Ie45rrQfrqF9PRW59H4x/GgAn76jJYMc62wvxHCJCIzF5CfrUfgU8j
MHd+VtkkhYlqsdZRJnMCSDyd2F6sgqAI/uG8eiSgrIqjVA0cuXjI3mbOIh0W4upFdFG4TC61qqF7
LhbfoxI0EdHmgz7RioDtnkpXguL4Vh20JwY03CPccc/4He4dExdr7xm9v1ZD0H8bg+hdMb98GSw0
uULU7+5sElYa5JdR654TtWjrybS1sx0l1ocGYDTsuw2xCXka5hMF/C8KXJeHhaGw9GEJ7aOmPuvU
d1GAx8hi8prf6WDb5+WSObFzNjuLEgVPI1/6f34Bvm/OD0drqFizDlVojp+5jnO4ToCALTv0qpFM
BSQJO9MEegsNPLhk81N/UvG2GmlQwH1XQhJsTCh/HHLnMyg/nl9OEjdvky6nDS4Y58CdPPmwwC+s
Wil3QQAskyUnRf8ESD+X+rJzzpAdSpBEJsu5QenKhpIX+6wFvnt1xAhno0qIyFAmkOnm05v7o6yk
8E9tLIxLUQzulu2Te7btrt0yzRionHa+cXDxvjUEXtdkZIyrityRThOTriHOzeAkBx+nMtK9Pl/S
Wv3EjsRaZ4/mihq/38HcBphN/reyJAeBjbN+lCbEHOSVBwbchrsgc/4kku/Uhq0DbDI/Ogo/101N
G8nktBG7TC7Dfx9FYRphg7Kiq58SkKAKF+bo/JqZ4AI3ckDidtRNHM118Ug0qXDwQQq0GMu7QWI+
LMfQ7T2xOwrO4uh1AB366pWlda7ml0JFpSrtclu3N6d9k7bqlsn0H96a0WGhcnFXorulZ/a3bl2X
BNNf6OgIBlYG7SHu1QTRq5peVTczM+hypckugq/Vz4Q1hAaqJ3PPAEY809XMklZOLzO9w3KPdelg
WlUegZjAK4FDu0oz4ehKi6CQYx8Ll4ijZYevGtCv0xzLXtlmC6Vhfg0w1p//ZQ1ignt0c3WqFKWV
1aa6jpifPPNRGYX1IKGz1yhqWlPkUjADM53bcgmsqduXQxGtFps5Q0xIqHn8MpSesR6pVdgs9RKC
0P2mS0xsW2E+9VuwSgx/oL+u4xQnL5FuckNqGAZCinq6dU2R7cvO/uUigd3HTCu2OIaKU1HPPp6W
4IZcvgVYFTuP8NzGiLM+XHfSmwFBNHwzT3wvp+5jnIzqt6EhIouSDJpTDyurToefnPhXaP3aagrC
8QhrQb62pLn4YSGbSfssGMfLQM9flgv3QGfvMkGgIJIWZGI01K8iL2BU8/dmgF0VHTm/gChIwQdH
X11c4fdex6cZ5q/Le3Z5Gy8XL6pRxmD/DUnc/S4gqe26tOp3S/q8scMYVHD5v/qynWCiIkc6/166
uUN7eapacDGZ2RVfNH5SZ1zIs7JWIr7S1XGwWBBJlL3qrGkw/plADQXTHCtWG9JDvzh9c4LMtOGx
XHQBoLFNraNQWFmFMbcre2P9UmcBvZ8enRiuqJnS0kcAS2L8gjQXUF7KuTayiZk6Ak50MbvSYaeI
qnqUDtJ0NtB8oSWqeXBHbx5B16tjYkAV7bqmv/fkXGJrzDZmPlyyYqDkhBDpRZ8vUdP/e0nQ4DeW
4phTYpqBWzqT311b42FSxLi2pQ8Gcd5EiHYGoeFaYOZi1dhY/vOaWaaYR+b4yZ8vzH9uec2roJvh
Dkro9tW6twIYLedk+6WaefyyoH3xm5jc4RMh6nsqppRBCX2+QwIO07TqLdAG0n9R9rp4vzWJeVqB
ZsYCtKVvJjkkmvDuY2fkc2Ot+si4LbcmuMYSKjsJxju8oPLJ9Ld89n27iRzJzjDd2sjOF4d6yg83
R+DWSu1NNYHDxDUsNwhbAh91AjZTFjrt5Fw4HuSbkm9oQ+1TyzuRGvqNj89p/ed5MyfDmxx/ZmJU
T4IXNYNCxG6zYP/tYQ15SyzPTDaC8f+lSf34nERpzIYh3E4A2p79TB8TcfZpUodxW57FRWRj6FIW
JJb+n6SN/1F4L9+mYtM1mnzTzfJXyqmJsQIRqdxDqtEYXH7YPRm+oPKMS1wFPz1YoQ1W3etyUQ2V
pha0hDV617+vmZoRbKIxg4+xtGqVAyzFsfF/M+cqLqSciy3cNbH5G/RZHhkE+lqTjaM/85DiavpM
tBaHsxFcxj7yH4gb0ZXJhvHSd3SY/dnFZnr+Ez32Z440t2t9J7+QWqgOVS75Ngy9eWHSiTnTjWJq
5w1sw7MYngTNHOSIwpuP3PqsnWttKwE0oyouQV7Lc19i7WysHeg4HetV63wFcsM2KyeXnmTQaglJ
bQaXQHWrQWBJ0mE3zNEolZos/AQ4912KOdhQ/bQzqmbgkyC8Dz+o34gHMngVG1MH7ej5QbzDomsS
UlDueZq7mTQA6ec/T4mvDBMJqv/rddmM4ZECmvHR1N6zEAIZoZkDqNIpD0OW6E/LRSyTWpwy9iKy
ZDVe/LRaighHtotMrOOePCvwy900dMZ60Vf7kFQ/2JHsPM6f1KqLrPUkPUbbyj8Mhqmey4AFYfVg
5I161sjWqS9or5kq3tV0puJaI7MiOI7jr5jEYXm6XMrJBZxoyxpXQ5R+OE352kqb8TWcaWKaw/iC
SeYL+TbnqzS+/w9R57XjttIu0Sci0IxN3lKicppoj28IbweymXN6+rMo/8C5ETy2sfeMJXaor2oV
qUUibyDiIV0AFOCyn+0K2lS5+U2wz5v0rYtcO+gIUpyb9nuWuPZnxVt082b9V2lSAKfF47EAgYap
dZkg/WL9aR3IkI0hiBknVJMUqsFgE8nmIzJBhJD64JGtKxq012QHLMZU22RO4+tpO786c/ZqyFKH
2ADPzOgw70nMzPQQOwn+xvk+Cyf9nmNbOAhz5JbNsdI31fierd+D40zxtnmygA10yYgtZps6+nsX
blzcomA4uOf7Dai6oCfzvEUX5evEDOVuxPi6Va7DzAj/kGBXbqqNZdjDUaTEAKngAtiCe3k1qVvG
giGgWGKgne74ydWBJljMCq/xGi4yanRGPnDDqG0l/pRPanJgtU+i+9W7MuAmaKzpjhW1PVq/+qT/
LyH2cn0C3olM4LdglHZh9eAsAML38KREkHO6mvM4vlr0x0gyVm+G9qe0unRf1QtcOq/Xz6k9aGTI
RH5KZ43tvS4OKsQwzRFXfPfjuU9PcMymjb4OUj23p7YCcvkTPtyohAO3qfSDMUTDAzVVHNXY/yX1
MTySsc0P+WD/dVdbnL30yBlmbEJ2EDh9poyPQTVxCoDJe+aBJRquA2kQsX2gLMZ9oQMTBkCtvx80
q2nJwLbuSwdz45Svl2RWKOZAaKeRRt3lKEfjIrH9vOh96CerC4QAknVVlvUjrPLsoKcWgzZ3gmRZ
5EC01z98/rUUdXYyXkLN29RehNfZMqwXSAAxRWr1eKjp+N1gXDQCbVbt7fnSrFMUkATRMXfyX6br
FK9uOhQ4y4ofKJf5YQirl9hstK85ITI9aD9QZ8kG8Fk84DOKv7l5bd70aYTbsr6IZrpI1zRoG5bZ
i7W+OJn6gdvOOYFj4n9fJoGdufKQOPMCXB7ghVzHQCNYWklu+lZMmM3aOUnP9CyR78rya0iQCd8z
rr3RdI3AaRBD0JvEQG/AC2s88ARj+tS6cTpz5nZWWwE9gZqTbsM+G08CDoqPj25INx0VeSjIw6GF
dGnlw3B9vgAWGq7L+jIXyTHRJoIC07iW087fEUQZZvTFvJ2ISNWmA1nVGNt7nDOeasYdnByQ9Fk0
7WcvdG6pouq1iXNaQmXxqbnT8Lfz3g2TAhNZlclNjSbebmzC9nUiyfJN6zTqrfR2RVXQyhev9oIs
k+1hku2Acyl5S01PAkdhhigoL8BfZQ4PfgvSpp6ddZubWYv7ya/s3MU1jIfUEUZ0ItBpv4XRQEND
Uf3UwHgxzerlcZoHkqmy/o0T5Qsml/aBv3hvN2ZzV4ia+0YoAQvc7o75+EAGF28cwmempo4BW77q
JusyjHG3g/jf+7p0hnMYYfYs+knSaea9Eblm2kQj8z0VXbinXFicvEGHTUMAeQea6F6lU4b3dZcq
qw1mHYNCZtpUCAy4dp+1H7L/Pc0drN3MVq8saZStRNoRa575qjWoB3OrDpVeYVgCE77PZ0Hnjkj/
d3B3ODBDFmqPy8R+4+ZMlifd0C+WKN4XqtG2yirzu7V076pZT2lJgm2wh7fwDyHAWnXSSNzZIVo4
eliP8dz6U+r58lCahhLfzY/ComC57Zs4EEyqKQ8wMs7v4bBLHb+v6+nB8pHvXDyIe4+JH6kle7j9
Mxs0ZTw/Qun+KQDf9zENJh0N3kFcAFMojJKOCEvf9jb8OEE6mTpJnALAiaA9ifFgE8sl0BwRLV5i
/lr8S2bKudDmoF35Vv2mb06UzzT7sLXzC1zJ5NCtdi9D27vFDpLeuViDTdhF2oeeV8muoAyWMgSU
8VHJs0GM7BWb2beCde5VE+3HKB31bYGOLYvsro25QktoIcN0mQferbfEq7EC6KypnS8dSMVXoTA0
arinFmfC/VWny6dXU48J1NTHPR4fXevLK5QB4M/5SdDGORmCcq4wuyUWubdJfa8sdkJl9OUhXJg8
t7a18uba6xBX+S5MqWSTf4e3JzX5+UJnXL6xIrILE+ndkWTkzlXVfDQNvYMLXbHpLeZPu2Up3cn1
LhdW1ZtIM5dbBrAC07ZJiCoIM3pCE+D6fdYaBpXRytEqyRBTutdIipWNN83C2Fz1BqFu+BPD+fn1
vBqdPdJKR05E2+cNCdWjR2a1uQKuqE7Q5KlP/VvqUxuWoLimHqd+GEkqzr8vqm6J62JW0CmzOyjL
Q7vTiple5y7ou7W02OrFBSJAsGBz8it6w9XqCFhfQsWIp5jibPd8U7ICNI+GF+YSFp64PH/V20mx
HSyZb0KKhMi64I8wRr4XM+d7qXKxfJSh9UiZL1TMba0VwFiEDBVW9zOoT41hL+H2vnNRM8OsvWNp
af0BMj9evAamOh/XnePQ7Nykbe4LkDSYVZb4YgpB0/yEiRTKkXEa8i4LgMj5oVbrJ3ONmYOBPhaw
AE7NqFW7mjJilAiehyyq/tiIcrtnmS5oX97CzjYDFSuqx9fa0X/wKtd44VrbH+Fo2clo3afJUnsb
KCuXCe6wpPmnq4H55qLV/z2B4s/fNpf2NObOvCuxZd+eL3HteDfZKN9k+BLBITm5a6AWDzonKwPV
AE70aynN6mhb0B8IrsSvMpWEF3XQEpa56MgpEsmCmQuqr/5Qc1zs8Gm8POdp2FiNjZ1gpbKthTJs
4aVXmzf1kPETTIs7E6Bq0+jgJCSzPDlQt620hk4aFW4papcnpxiporHXX+Yq9EeuPuT87YmZq4yo
MKJT1knwSTP5LL/F1N4Yina7MQNi88zeA175tbjhr4kS1qvyhgeZAusVfrt+BGzfgCMw8aFX+Hae
nq5eG+EsoFllhW3yDmXFbinsb/VA8VOEFPyvdhLVJPEtPhd7+Nb9uZD5X8JJ7gPxKuKfotKI9WNC
6msmOUSZOdpravvsUepqofCCJ/VXJTATqD7GxgKr5wVEX0h/LEUhICQpzyyt7yF1X2SPIvuAn5dk
sop+9XmHnrS+aAUJ/mGo531GvxZx5hFuH9gZ+n2N8gYKikIGmPzPgx41o1dgNPqWlD3ziy7Vt82a
++rWFyMBmoSH/ZrY2uczm9b9Ayw65znBhuDinAokEc8j7WjVN7NAgWsgl5XQAwMRWuDxMyIyLMyb
RhTiQebphbsORcP1Mr3TBvci7TZ6/Td/XtJoJJg9zAiLqHRjnhLKU3p3EUYFSmhvLeMXoyfGW6vM
3eGtrTgxnNum8rB/4KaqQ+Fdny86v7dJZ2qd/v+xSOZsJl9bM/QEMm1R8qU2C33P/tAVDA1hYz7y
mbbZMTe0T5JhFKJOdLuSs3lGzFtP/kra0L40iTN+xODro9YZrmJuWKVBjzEiRr9sF1F9DVX6mcTz
R5SpXWKkxcOa3zPRRBSr1vVlInXdAomphkjHzDEz7g1pAwK0LmA8xdYHNE9+iqR7yJVw1GiYZ6GM
PNq/NdopNa8H/MPfOOLjoDOBgGwaK3qjxCuCfUjj8xPV26doGInUCx+KAnPdsfGo3bM72gqIIRQn
1hWE1DasCMM1/8FSy/y0dgQXg2V6pTfGAJw9H6K0wcVXHEcztt8kP6FKouMTJN9CA3kwlPvHdXj+
VmcZGHjqAgmF3frmmVtz6ad2u0w06I6L/RjmMdl7Vvw1dlyq/vFYrKb7HDPuFk9Vqdc1fYv9UAtm
JFrfJF9KMrSlftxz8HGqwsbMzl7L5ZwmQ9xaJwcp+0IEiQuvZRyMqo7Prs7ZpoxTzBKwe84UOWCp
z5TxAowqDcZhfh+WxbvLBNdv1sevXkdkoWxJHUgbR+lU3syGpo+5+57x6Mx/Za+xH2daMHF5xBLo
Zd/mWsfGtjrH1ux/NwHgaojWnRJCl47BmqeV5Pttep4KjwK+ZrW3h6vRnQisfQ3HIeT69tBWsjZV
jjC2V9r2rBlE9ybxMc+2e25N+UkBAyWu2VLupVbU22fHRFyAMtM5CWykQxqocjGxGXX0wTEXzTLp
dzox0l1vTc0hsVJj5+LkAB6iXESOJmKy+TkSvDpRYjz7eT/2N4b45P2YAZBUHPmMjFhBC1nH2xkj
qm8Oueen8EGMAiuajqz9QsToq1gIxglp7ExESB5NteyeoRkLZhiNQ2v7TOr9l0xGubOLpfnRpx/d
IOyfUwwqDiF5k65U/xK1PI3Cg1j6zZgkxf3pGJLWsvj6QGCsI/3qsyr3zLOHHFA36YHnITgcAVs4
ob38+9Iq8I1nzSI2Tyqpu+JcybG/QCZttkLa5bTtKhwUtp3jE4s0kpqY74pYX64KCJqfCbbUJKvV
Lh56yoRawcAKRWrfTGTQ2ziUGyBiPWgUsLxxjyOcPavZP7+Vphyna5jar6yWEYJWGx2KjAgS9NLA
nLr0S5XiT5+xtXDk5QldW6Tn0NxU+oAdn4nZXZJ+JIdf7Ccw1dxts+hhNGvt1UzmEbDWUPnTKJvz
v18+E2rPr8slQrntiuXYRowqzKKBtjqS6x5SmVz7avrfS6jFtEIYhHWrrLhUjK0VmNCt2U76kTNd
xswQf/pzbEzFG3yjWW2fUw2j8pyHgLROORIslC0N1d6DO/z8bngsLzgf03PhROIFav3myY+MXG/Y
YcP5M49Wg2t8PGPOKvHvFtwljbj8HlLSZV1tkJABbagRbirT4EJkdJd2SP73gvWEpPf6EuleCSPb
Mfzn78l02XsMERCNS705T6tkYHVrPpXW6j4uSvppRHgb66UHlEB3hSoS784glGJ0byxOMRZbCCLi
03IRDDkhG4eQAMP++deSSHK9k3dSmXKXazZBeOyUsIKaFMBW3iNBmcujawbzOkwCCjUx4UB1i2Kw
DfbT65Lp9nxhIDvdQsnyo2Hb4pLDH3SuaV1NdbFmgvSzY87MsHJM3niar1l1HcKpu/BPwxxa537g
6J74ZjxRu7JqWAFNA8O7XugNVOyGQgg1FLhPGY0+FzKXW9qBMH2z4XG7y7qPt1MN/a5eVwSvdzcM
eNVbWsX4sClVlaOp/GzIRsyqs3gdIVPvCOybuyIxsxMGF6IhiXcWefWS6flnWNvDqxYzNgapUx96
iVT8v91aU8Pm6aaJo2GinOKWOsxrBif73VAED/LZe8Rq4bFrprXOwHhx16MdQYDoPFOX43MoZOBg
9t8yfPEBrNfh4vWjQUNr4x1y6n1YeNTIAnV54r0dNmjc4uWhjIuNq9YDIKNKx6CcsYtbj5g4BNOI
O7NvxdzVOwEbGsL+Ci0DoJqhjYNsbq0LOs4xNwzmXNZgfHhlY54wKcebOavinbRosh66LAKWSC0g
/9TR+7jjdgx5ls7TynzTeuPNykfvh+jXKJ7bY4/GIPUiMQExWIHBwTpVBnmlor3ujjtdel2QWWy7
YFEReZ3uMXlkx/S+k7sZs9DGwd740jAd3cBTlkjQi7t24enbTgsbylsSr4JcwTTx+WUXc4JOXPNv
MpvNBUb0OdW0+JAk3XhqHX08WaPQusPzl9JZ+kNTqL35TPebFo09FL32P7kvLn3rvI1GND/0RGaX
2XayHT3VFI6uPEm6Ku8LBjJQavBYiCC+idEHzju8xXE/vGFmJ8gVplR4kyB4o22ScB/vTAKahOVk
/tFwNwGC+T5oZXXTwIUtBA08CyBGG9VnG/zf1iBk7z+/hHvgBDZTYv+5brQgKrcgfTGNaX1zidVQ
bnNPUWmb8Q7XFSxdQ21wHIV4iAqbjW1Rx76I0/tzO55C5Z1HBkUH6lW49jYq+tFa88E54eS1f7fm
eLEAkcGtz4edmxirwB3bIggzuLDlhB7UmcU1KvHvdji4tw2UxtzS0Csxa3IrgBjkwRgyx5mbqeSY
joH6ryyt98pDyiXRVB7LplN7DIuUhWnY7zO7v2QMp+9cmZZ7OqX5ZWhAXXv/wQEq383BoSimsGE+
rbvi0xr0fKlJSmxUhDn4//9ATfFBC9cnSEteO5Z1GhY07mIYd2Iw4ftRB3VgxWV7rfW02Cp8pveW
Dcf38PcF1ES7Ww4PzgFl0N2Flqe+93LZaTWGt4anctsZlgV4tP5dZpN2sMSVNe53nOKdJz+yq8J0
+VEjqhAiisEudzeny+KvKTecHabIfuu59unfxwRh4mTGcm9b+iPX2+KBu1PSNiuimynWHlzj0xnl
cn2+mIbEkPf8pR4v1VaBF9nyY1LCOUzRtfJeZBt1p6rgTrwYxKkVVNxelDeIzXrwTz5KOGv9s5zp
GviVCDdaIFwUmX89hx1BhICbd3XveM/Xmu19hYP7Hq7GnpFaRmNuL2Uqv7QSSuTApIrrUfbxvJJp
ZfvuGfCS9bFrf1aUpHG41iNmgZr+7lhNelJ6HN6HY4/WWIZOstd6boPcc5gQDslRn0X+2QCR3VQo
hW+N0TLFRAC6anRZH4noptTRiTfDLpoAJFe775eu+PSwtGz1sEmPC8myT9wZLDDYpZ+npJbO2g3i
4nyNXTALjMx+DLFerEZ+x/fWu1FHm0TGbYJmBXUfBTWuZlwFdHrMD80N/3Nn68FnK8FNOLFRD+uL
C2tpk8dQqHp6FH1QaPIQR3LCiNS2/7HhEkhr6thvm87YtNxnLyn1bSvBcqGPAFxDJvwc9N0unFcQ
WeK8Vo4KD+HgAaBasv7gRgFrRL211xvj7EVfXBrpEBZ4FfX2o6b/JZnzi/LmHDsQB8SMEIXZYCbO
hL73iqzecqcNN3YWthujwchjRTJ7wCMaJ85ygAysmApmergpQyy5vptZcl96BsIsWiMn3Dk8JLZ6
m0WW7VuHbsvJHNxHg4b/6AT4Xyh0kO6qTSm5yyy2uW/7Tj2aRVVIlhqFOkvRBU6SaFtIgX8a7vOQ
7rdYFEtsc/FyW1zZHKilz8D1sNY1MrkzNVMqqn90yPjKpuJR4Hacxumbog/9lPRVUA+hOmOe3sdt
lB5bfPx86pmD9KJeBydy7TUGw1AOsH7a6SOPReYnmEXOaLdqbxGO9K3xe5ZKMAFjq85qsOg0KPNP
o2poUp+6//qQJvskMsqTTeOQ3YttD9JzA9QpA5XDuK1vi3ujSKpwaeFQWc3f2LTvkQEnxUspo3L1
rjt7MR/AJfTqALek42sA4w+KttMiVMOlGCgXXa8x1FI7O0+jhS1vO0Q3sCaHaYnNC1OLQ2Ol+t4Y
pp+mG1+7xnpxozDZpLDsStI/D5AEM6bBoOqt5dY7XHwUVNxA2ibxlUI/Th6azDzEE98n9rIx7z8w
OYz7YjK09bgpTlHj7LpwTUQmrYMryy231gKMqKkxz6PRQsiiCIZbcBef0WH3tJYlhzjHcpXPvzsz
/O0axRlca0R9Fhr+kNA7yvEVs1pkAaaNkF5rOv9G9lUvTigJd82X1q4ArI8RrHK8lVTsgY2YexZC
HhMVtEUbbuocBbDD8Pti2T8a3a52k/1CUwQPEYMX3DHV0QGlg2Iqr0xFPpSTg9fEUrBNNFC3hvHp
xqIOHB0v0zJ61wKjXsF99T0yp4lDy5SeR0w5RB/sc+6BnaXmIZCAx3zd05yTCe8wiBjGbajO+Gmx
Fvieg+xdJqRXwaQwwK1+NbEY8N2wTUWMeAqEw72lD0QwQ/XB/KSnptCK350CAgiJavWtxXuuXTlR
JYcpKulO7eTZCptf6Wp6Qp7tCHlT4Kka582Lcaw6Q3WqLJMrbvsK8cllqN+5IAV5d0SjQSrN4pyh
9/hFb9oUmNpIO2bGD2YiGfozVvNQMGMyU8YlUe6MN0NpDsAcHXtVhFI/v0AsGq55H6oHRF48kmlu
f6HEhSEwQFPRG1RG5CuszrIxJkL2N5FTfU5Bf9IKd3NEl4pKzfY4DR7/mjMLCdSf4ZAwUQfhCaxo
bI6TwyTeKhHXXEXLiT3LHKZU9obDZM+BpDy3asAbWzDxHxVwlF6c7HCiNRBc6G0JddRir9unY/RT
2nb6spgAC2ekXWCXxZ/FTuNzJuUjMqK/zCYIFvcvcUWAwazK8MtJXL/FPbBtHTfhYGFV/sDSvBsM
9Rv/uwGq9T10UcGiURQ8VJSTb5OGE2giUfA9b7MwzKYQEfKQENlZuIVvqDvNHOa2EdThdD0i0JM9
xJ3TPs11tAklQl1sdSdCgvht1AJaBLcXTmC8LKCIGkpw27W8emmoDOgdxzfX/xF25ZlqLuuno9Ps
LdFAGV7aJLvB9jZayk0DstWce8RnkpKGXU/Kfaix7NLY1W5b05JIELHJk45qiZOJf1uefL/s+mYP
zx/yS7PVSNjsCU+MBWRVe3pRZdtflSjw7Ar5GnZaFnhLOlATdYvIluJbnE5pbbhHi4882E1kFPsN
dCmWwpRwd9dFJ+TVXaMko7P8lVFtB0yv+nLstEWidrxjPQDg06CqbAePGP+6BZKoyF71uMOFpjjC
m98kWVZT9nBm7arEZUHavu3WcgQPgU9U83gQdvPeR3KkdSITlLO/RqEqrpqlfldSaYcqmhwwixY9
UIm4ozLoqEc1BfECynbJ8HljV3j3co0W9pAENpNG37WHi3RkzzQnLE/PFyF52AasVEz8H5gycOha
ahuFMERNO1GbGlpDwBj8XMswDDAxbDRbhEfAzf/l/XDogb1c+tn7o1saF4gme12ipr4/XzDrY8pg
5phTy3d3TJYd063n8/oRMjT7q5s1eY+t8j9sVmrTzA7FVjoBHqfWfllj6fi2U8OdL+ydow/eHv8u
NaQxXQoNvTmu2dBt1fAcED+oojG96Hl6avNa0MMBFn/OcAfoEIB7DoPEdB8F8KeNMAAd93pl76WB
WPAEGxrO+L2D+MjpynibiMDfw+6Ch5ap9wDhJLNJ9ilG3/1krwWkOKzcnstx7b0aYZOdDQjlvouz
aC8URjyk9E+mdGpMjl4Yb3VsLr61duPqa1WuQFuhFCeIW8PcY8Z8NmXimbzmeOPORW3HL1TIVIDb
OLYAWut3ZW3/UpMbByAh+M8ZDAr7oTR36ezJ4xDLIELF2K+P6bPFgiPpzWXqS+HEyars+TrU8hvS
Y3WuUsySA76ZjRSOd8ev+KvIUoQ6EShLk4STJauAGdN+1a/edzGYx1JgnsYDV+7ADOgn5onXMDFP
ThalFLvH43ZSvxhcxG/hdH+6U7uei3ZN+yRQx6n3Q5aNXjriQ4iYvnNChq/Cdt+M1En4LGoBTQKY
vBzM1YWr/5dbsXaq8v7EYXvYLsYQBv1fAuvGeex0auZtOFErL4dmEKPZjSuIx2rJblASe4IihkVX
sEg6uawCzHWslI0x+4aDXJMQrUsMb/RtBb0WweKD5lRaDiCI9lozn6iWrzgY7+NOYQHS5gnZHUfw
2BlzUDstLPTM1Hx94Z0R6tsMwIvdiN5ICJk16MsIS1RRbqFP0XaaMQKy+BTtqC5T51BaW2zc9TXF
zzDFFVeQcIj2DqXLG0egT7cDp2RFLTaHdZs4Xd2hEb435th+L/X0y5CWddxSPsJUdzk1woYIgIzo
6ev0FiKAXLrX0kv5QVlY3WPCQbukuJuokeZ7yXib2DT3zqCRu+xr8BxDMRy82kI2iJKc3hSqIyez
/mFCpDw70q2RzaKXPO6+x9pCxW0REagYCISftD9uE0XnLnSxUWX4DGmAtT/tZP50bc7ieRwF1iwf
Fkl+blksrjUg8VngcygyTFddPix0koBizMx5Ny5ZhuV2ne9mP9yetnu7C7oEzq3srV/aNPCOL/Vv
ghzXedwZY465Mh+MIJ9JepeGu24M6pa2g8JPM/40mTC/c+5k+7PFX3uKNCh9Yg1IJn9tY9L2Dcml
3Mrlwe4op/Oy4WoWdDlpRoZdWiodaBaCpRON5VZMDh0U+mzu01qnLqKwD2WT/+XHBpuRh8XWnNxx
P8Df2ssqP82o4FeNw+KgQMQqvUyP2iCAAUXzt9odvrq0PXJA8m4ZHlWcMNV5HMSHwRX+qLL+hI3U
udIzBzyIoiv3fWAozFasAQhSL3nfA5cwlDhwJD3luNzfmqUONFP/W/TjcLXTdKtqKrc4Z0q/Gz1q
t6n2RMDS+q0V3/AMNCf+kr0VbsumvPKsh0wtmNmgP5IZ1a9cpfu0/YkUII4ys/B8eJ4RVKYdeJbU
z4vtjFfM/tNVWDYfWLcmDsyogLZTay9GXKnelMkgdejW0qxx+2yNReJ3D0U3vFVuVJ4NghKoaenb
0CzzlWbVPKgN6tdHvCLw8mBwNv14UhRoxm2dnkrJnb42RmsvgfX6mOwATmggLg7AY47hghofIT4g
WfZfoWhyVqeJeonF4f5vzcDPPTb5FUCht2Aiy6blg5pJBh/l1B/q0D4xfNnZPUcTgXERvyJWkNZA
oh5DsRvjkThbHt5cummDyGuYd+AigdaCwZudBx9+mL+Xmm0cWGrINbep2EGLyLUeeFk8gnjXNGbL
RlaxnVXOGfLMPSc3jtm8dB48NkgViNyDltxwEPsV/U+vIzd8mNAtBQpueksy56+VTMN3xzDSzWzo
6sow7lVN1IUh1O0HCa+VuKXYlNBR5hrBy54Xek7b0t4LvRX+0sJVwYDN6XvP7X3vwVibaBY/FFMT
3YgEaFevV9KfatxR9TCxJ7yZZQLCYtTJ/xS4/8KBz0fbzNEdEDwpOycQUT3shjg9t8XIY8j03s9y
PJ+t0/sqtn2V2xpk2vCHgpIA/HEJpErEyqh6T9hE9fRHkbigniaqY/rkZDU0ARiQObGmcDjK2pG7
uGchX/CDeZPXb2NdluQalLNrG/Mv9mzfotzxaIroD441LqRZhZM9vdh62xBpwHUhwZntcxH+DDO8
WRKYAvoK7zNwFoSLDhIvzG9rk0WcEAw7+kHeysDdZPDGMpQQuUcEJXPcjaS8DWNLeNbLkBMxpvNN
zCpwrCeMmgLzC//ZnmiO6wVmhiewDVfKSdt9eZZ3nGyRIafQpoh2jNCpKxImUIpSIFw15vuNWpiS
KQhHZ9vUS9YK9kXpYXC2bMoGHT2U/mopcqtYu3gMrzjd0e3SCfOiMxW/JdjKtbZDpF48bJUVIkDL
+c1JZk7DiFt+azsA80ia9YJtKepdw++gGgw6AQNOCxRsDpbP0ImwPczqMIb6aoU2HaTJlfyBjuPd
ClKqQTYjctIGCjijixkpfKjJMc89e4ZdlL+cytjxbU6HnjGab3I8C0qdz4zel+ZpdNU7XgsIRABl
kbuI+g600CE19BuwUQPmxTk9mHzabplO+p5IPObXrqLmx5h3Ll1vG2ZjeuCU8oOzhbktdO5U4VQh
K+jxFbvEi4fyFGSDYjCy0MczddqGaxhpXka/b61WZLeXdiKtnBW/YeaWew6nx+d/WHiT2Ng6Vcda
HL020D98aSV/LKdLrkmdfCXSfYDd5CO5uDjFutTdNGhtl8LiM268Sq9fPxykzIzohr1kalxutp2T
HSZ8voI4iu+l/fhSq/FuKic9MSL7VXd75t3Nrm85SaPdOwe3JmjPI8DHbkmBOkRago8p/quH9UTP
tjZgPePQTgdg1KGo2RZVaoRS2Nx+IFXO50yFx5JZh9LkmfT+fBK57bc41QK3Nijy1eUxrXTht6nz
0rNVXMKIt9/MblYdKbKuzDqrkppWkwctrbzu+nwxzGnb5rFxYFV1LAqxFPfFTaXhRGfGqgIn0u48
K+E9xiTgfffoog8aD09C5+SBoYw8oGEOOg2Jlq3I1hInDU/g7BYnx3adPbH3Fy+L8ObN/uB4M1v8
2r8y6gfoVg32YigBFK7qGP44dLfpVXM0uoy04eosmr1tZnS8OAuYt+XXRFH/y7Le4iEbFf4+FIBk
UdmmKYH7eyWdoE5IE7MyIPSbKgroRybxN4K67X+gBvT7wQIj00GypuSGSgHX+9P0trttCVvtPVjZ
H4yH+iCjwK7uFkhEi2ESfl8e7ERbdr8BwBCRGHNiEqHyvtgTCvHtyjZO6x23gGTWRAlwYkfMCKJ4
xJv1CmI4wOdI7X/XeKwKyUBHRKbETaP/l5nGB+/1PiaEeaLPCpm3hhfQGEMdrFS5TQFRcTZNf1OT
wzmHukd112iUWz0Tv7u+tXdPvr91BPXyxwBjsIsXbqtc1w+FB3e/kZ59q+ru1oaIa5gHcWfQwJjH
3EW8HoZ7Tug6noOClj8i6DML4jR8cTL/Ly/5tLmUKRP9I35BBSAgfcvFFsX6dEirU4MDifAulUSu
QXlKSl/7oZsIsEuU1tDnZDqImQBv5O2LrCwQX+sNFv4tl52F4Q25l4Y9K1J9GmAM+TUnmAl7oIa7
sDX0A1yRyjcypk2YDFaeiDtd3PKbUHF9tRVmxTlNcDcNtGxqLq4tGCv5SKMQQmICyDFpjjFOBo45
jBZPokN4AMazy5Ko35l0lHQSwRDCQg13ZfYutmI9JvALScxS7SmeZ9YOgWPL9S6Fm75gWJq+0YWA
XYc0LIP7VoHF4zuj3iJk72hiuXOijC6Vsm23lLMup3kgjqUScr0Aa/BkQ1AoOWA0x1HkObUoLMZj
670MWhMfs3RB7Ayz3cyWsGm1HjYpAkmRTO7JYqY0OnRcDFhdiRugPEgCi0VqnF03fHRRLja5a4Mq
Zfia68nihz8JnUH4dtUnUWIzCFtkvXZwWL0od/e5NKTbcvCXOZT3LKliwDLcRUqqBEZ19WqSDkTX
/yaK816Cc0lErQWHbxDHskh/6mYir/bvJ10R/er/ODqv5chxLIh+ESPoCb4WWSwr7/uFoVaPaEEH
0H79ntqH7Vg3M1IZ4iJv5kmDHFb7xjLmxx4L83qLyUAyAyHJnvFObGW2B/OanfzAP9TI6WdNxHv1
ZzfBoKATTrRP6TKPsrX5TNnWHOm3ANVaSSwS4Yg+ocmflS0XrdGV0NgCuIobyO6pzJlhy49VpMNZ
aCAmld3cyXnDngbi5QBfiL2eiTuW9LDBc/Ctb2V6/v8fq9uZ0VJ3c+xZLS4fk/ADYDbUDjcU4Dfo
BJ6zgDdlpWaicS7FUDKsDeUD0ZoYdS943c5QDW4g93lICCxOoy3ulsEBToGXfboVVrOf/6MKSC4S
ZDYOX5L4E17gUCAnSs76psUQb24oAsai3rZm/G5y94PUX9GZtwVMc2owD1TG+iZnnINNr82kNeQf
NJ8swvpIZiwTkNsClWTu2+DpIE6d/BzCc2U07xLaAS6pTMvYIflMwHJ+CeuyP2Vt/8jy5W1NbW4K
bvqTzjrbkVXEOeUXhFVClRHzGh7Hvs0OmJBOBT1vkSAAj0UDry8ACPRCmqdlY12CxfwPcGBsA8h/
yhwTPJjv0/1FtQP8kX3Y+3FfiPYSvJFDAZ70ZRjhcHUkXR1G4QBUvOXLg9I402bKHZlnX7ghLZsZ
XeZAsAn/uWgU/M13XBreUO+CU+ES6SmbF5lhwAVb+TIhCsWdB2AmzcgKhutTqeYR55PfJWUPXgQv
JryVEHssOTYu3HjPPJ0/dhlcaazCO1nV6ctC33tczfI93OhQSh1BB6cHYB9Ygc1BAIelzLEj+CRD
iq556usW2IpEkVGp3CsyKTH+5b0vameXqiU8V9vgP1v1eHJJKrRYTBRzoUtmts37Ex9lCjHZDBjb
aJF1MIJzcP3/8437rg9YshrjxaVuaAQCtkxwfGmYYyClGDzXaIvixufGXHI7drMjljPNifufFu1v
oEogWyxf43p2fJYGDA+1xBBH4O1i+tuLiXB1KBlEgZlHjXB7Fs8Gvcn6Qyx5NAIrcZX77PiQMWQR
sLcmOYqBYD17pkWBRukw0/lhgy7GBdIruj7RJFmIka5/pkAWiWLh3TGkoRi9YpamddTObhsa+d7L
cWMLxstJN5YRFzUXEBMpyh+KkAFqfYD8wbVFToSbON7DtYBo4gTPA2mjfY8tt9bWiiubuZZA8Ctd
ehbjuR7ukeGGxNL0Eay3r9rskWVvNfvDHvLHJMpT3avHnGk+2cL1hfw9/h5Uis7gCke0A84AXUWN
OUXFisPL4fPXgsOCsv+K0Tnimu3vV4/ioSUd7+SyFcdyOk1Gc+EWv15Q8txt9SlOApLp3tTxGvqO
X6WfioaE8+oyChYNUz6tbuMjOvRWg6/ON4el5Qw/JKgoxBnSna64S0HZz5MawvfOzdL3Iee5WsGa
KrHCtmTwrjyocDMqcZ1yLCt6nAJ6TUjCY7U+3/AFekoy0p3coslQL8HDms5G1BgE3LNOHwrseo51
rwcIJCHr13CllqYNd066vLc95S5Yf+60M/zpp/lU6wltG8RR4oz8LvAhQleSV1lfMTqjDG4bv5J5
RFn9Lw9gSTkeiprjSZwG9JCjpOik9O9DRtRjb9sPbqPb2w03Zp/yBJrV21Xh5t716DWqsL5K6n7y
AMTmsjIGZ47arVzsuJHfUFV00+xNh9sMUZCzGwcdKAOzfuQGzZDIDSFJO8UXQ4Rk0TzzSDnVHS4a
+2605LRrSUKvTnVIN1SHrrK5nt8o/u7w5WI3we7fohqIYjlxJO8W1vuPi887wYzcsZCY/k6GFUYG
QuiekwfedzceV9d6zUJgkLk2/8HE5lZYuGdR+2g0D8plbB+86o2y8QxwWMt6sDh+ObeT0ZgBjRWC
1k/3XTMxJm7Z633QGxNTd1UcigVAhtcaBm43IY9492a6bt4935iSdTSoSnY0W3b3nzO4fzEhibPN
nf1u0czfIZpZA1HDLvR35RrmjsoGlnHLTnUFzkYurdf9PMyXmXrhsyisl7DPu4uBKxT0SR4m1pqe
Leg+PBNgmlOpbJeFc2Xs/i/1US6DXP7zpi7yaYuk1sJ2Lr5cnyIQGf+JhQG4ypExNFd8MLYVE/uI
pJhDXenHq9F0au+aBClnFj5WSxChpvFgcBCubPdj5Pq98wEbnVP28leg9S9E7SiQyGnVyYe3Pg/v
bd99axSt2i6xgcRKRwOq93mpVL0fiu2vRvFuZwSHoWSxZGdYdEdDR/0N2T2gU9D00P4j4OomoWV1
fI6K6iAIXpGbg1226BcNRO1gFegyRTvkh8nIFaeOQee2Qn6wtkkfAicfIYjlYmdZ4Mx8dhTzVHLt
kjUbh1BQu+Kz+pq0+bfWBYuAOSUZ4ltRlRd/O7N/VrN4CmovS4CM/hKb/6lKXP0sOzRVHADeulu0
pi6XGMLjnpp4hyFghjmERf8mwg6cI/5mdejuAI0mFV4K2zxu+YregnGZ39otdornwGRX7r68PeCw
bbWnwQzZf3kGnzmmWa8z6ecRfCwIAZMf9VYjtiqbFxe7dKY8WiIB4OMZHfc5LFprlta5WzmQ8yY2
PQ2S28OeAwerYkqePvJ8+jV8PpNlYOJkdaxDn7ZU6fjTY0+hQIzaRUWEM/0H1b+BWYOFtV9/pee3
p3F0fvmAb0f46axhHfS30hAUz08ZH3jeDuj8ej8EPShyz6/ul55d20ARdBGwrs37YDcns6+sa60y
SObNxbFoDASeCJ9l9n40kQCqErcLj16uZ0VwV1fpN4Wiazvwq9Q5h/oIzYZwEibTjrdL/UV5wVQh
jC0Whc1D1PdPA8PRUY5++GKxgfHH+7omN58thHml9+GZRbZbbsUeRbZthxx+PNII3kgU012PgPZ6
A7Xa35QCv9aUdbA1U5z77TcSzHVd/fvRQ4ppwQocsrz9m6nFhKdtP3R84+zBoJjIC26DVJVd/YmH
Fahl750OsdfCIk7UcO3lMWkxFHO5icG+nPJVUUIkqCwuq3Ui1r6wHhZs4cqh5ht+ZTtcXGCRIBaZ
yHeOcyxGtNI+baiJ6p4W65waoISa5tUxK+h3qxkCtOGGFKaLJKkTQm4gCsXkD2u1eh8CiwNnUa81
7Xz7scGCM4R/i3Ark47OIsgNdwEetqjrhz/sFNg5p/LE78xIF9ZJ4OPK8lhL7Iohf1dm++kQ5Yxw
8/dJygBAodxy4sQ0pwRgPBCP9ZgOcNFEjUSMq4Z96dLEGlsExPLpp4Y0uy9M+oYqTy87q3D9B9E8
46yOm7HRu8mlEUrRz0D1455OzB+szR+9bx8nGl3XDoyp6XC1wHt9WcpohCx2VRiqBl/VF/zfh8wZ
eLCXcOicGudBdRuEFCxSA4RTbWaHyli+jdzkaLUAaYPghgBssJZRLgFjK6ezryz47VLvL2d+uwtr
jmw5Dce5omxirs81QP/YtlgUGNXVdtIPr6ayfATGH4VGzjvjU4s2K+foAhfaBsfj7KUnoQyyaS/4
COH2KeqYvHRCtt272lS8oeF7p3VTSS69TzbQ8kIK92NyeabQkVvsu8qc4xJgWt3ZtEgX45dJSAbh
/Kum4zxh6wpJN6/dWAsNI6br8rOuAAikHJg8O0n5sz6kKamYn0gZRn1TlG9Q9YJjz62KUSE4dptD
QZdyVWxn3kMW7tcQ2poOfRaQgPNCz8fmNBZMPgN1ewMj7ZMz3TotbCCg5p8Gj469UZ89kvRJ8/rP
YCOxbHl2nyqnOuaN+S+DAbVvnFKi19f9uc/Wa7jg2aTCmApYa05u1ojCn/E2rqqMbMuB/Cj1fsLm
deoC6+x6JHl9F9OSxoo5xk3h1GD3bOZgZtZV9g8CdBiFtKvcU82y3UQE86UR2fvIPDiC931KQe1Q
zkV/ixBA8sERI0Z0dNHbW2xmKarsYI2nRQavdeqeS2ukt8dd/+TW+LOZKWj1o8UjBUrOf+wAWaAX
7VNbMtywhz3OABT/kpHcMaB+ZMss/jasUnt7ouBDu6+S9V0yTp46BxuGycmCVNSN6cPNwLSn/7zl
vXCNPQ/7SyoKJwlHVz+bOWOXlUYB/bAJ7thv7JfA/xq3pohoET+K8Y/cUJ222ZMnMzq44O7stwGR
2YKMYc8oc8to2Q9QxQBhhZFlgH5bEB6iYWbjsoiNJALpR9ZmRnmS1ow1YDy0k9UlcAjfexPWeTeU
Ue+k6cWmsIepiQrTKT163fA9WNA5B+E/tCQ4UHOqnUY0eZg3PKczRosQb+XVhqMAu8hhk+TjUfVM
HAaBb9OSOhTwnSYqH5zmKZjlS9tsv4TPudWu9XexTJicnBf+rL36OfdW77CO3YzAiBdvbETzMNXs
nYY5vOKt4UQo3zRacZS7oaRkaXnD9o1PUSBwkqPgZpMGmkuZ8y/w2PqMHoqhl1bLWfoGjXcDm1/r
hDkeesPFRGKMQAL8Kjcroyn//4ing0iSJCD4+y677NHxaiMCjh+nldgO6YRtxHKMLFlqPPpN2v5Q
iWxHDI/fQtjY23v/c17AGea4lIr0RlQirzZILtJbszYP6XMX+OpgS2d4z9V0n67N8MkRld17z9Za
QLEL2IDh4Olj3MOP83L7mQAJ79xCWoet7mnJXKu/1kDhC0rIkOh8GnadtE02N+4Ysf68NXt46yUI
qLwxcdQcjKaAr2L29+DbDnSI6mgmKhpbgwxfBIVtB2kE2AdIEC6M/Xd9zSuMdMqyLrz3ZflqB/KR
ho76xC3mMhbFVWiXynj2azwIubikFEbUWJdXh6f6ptS70YvuW8vibzW7p15s6nEg1G1nG5lSmFYH
w+WB7rb1RI6IKO5YZbvKyYASziSWqc0840GZLlsavFi2Ho45qu7B9iyK4efKoALmBtStl2ircYvb
QDMBgIXsZJueIo+ZovCyeaRdnJGqGVOg5X6ZjAv9aP5kYQIwucWGzQj3zBt47I4D4P+tBoPXVse1
LdHLSybnoq3oMkZtF1Own5fqYV1tTfSqeR5a0LH0RsVjlznPJNwuxozqGbLCvEv7ARM+CFdyqiXU
+Kb5WG7fxs34h78g8QlYo+mxW0rxvxRQZWTKxpgoa8y6MDZdjLsk71mGi1U+Gewc3Ns0QWK1ReZ3
qZmXaPdec7+aF/AANUIXiaq5pyyGVsQm9jcC+wNvtBbGDndBc53CEjJX82Tn/Qryb3zZVIvF09ie
8L5twGlz77Q0pAL4AHGqVKymlwIOsb7MFnXJeMuXl6GefvLhJcywjhWKD2DQ9w2IxKZ43eZ3MgXc
ZsrJvhZjrGWZv9R2fWz8ftgjGoyHTsNeNbz6vsO5Zq3ju1LbQKIO2Nk2OydTbVcywD3PKaY2CmCN
Q4NQyt7W/yJEvh5Xgx+MPcbD2m0ffqrO4zj/KdftzZbhnaPt8REKgLUjZPG7QYG9gmJ/ciCCHB1X
sDTnQF55xCRLTz+IOcLJ9DU6UR3w5Q2IaIU6v2of7H1mz9W+cwjUcJFwCQed6D/CYlv5Kzxq2Nak
2PCfEi8NJjYA1KBr2h3ypUPYGuo/uoQC5k4eMHMDTzB5jXjZ2Ja7CodjwfIa99xymljnwJwx6aE2
aX0wOMaMUewWx3fPPvCqo13X1CX5vJSOObeXstheWELgfGISv29NfoeNh3NpFf1JEIRJNJmwqA+g
SgqrfGQygrDE3cNssABu/ki7Ak9Kv5LDAxf0Bnc9i4HOHs+2nJZ7hNTfqZ/u1eIA9TPGu6HpfidY
Yu/GECB6cSAtS18dbTvAKUvKl/V0uu1qKLbVStijzplW4HsfevDzT7P7H83gzKjO6zoY4svtjKPe
i6zEDdZAfgrbqT1wlUZDMjjB/KrmXRvXQ86uZ+9VOtg5oY8oTS5vDmdyynkfNR//7z5cRbkP1YbB
uybNh/GIn25UdKeMixCRrY9pGEB5hSA+Wuv8OukHx63maFooqmgliI+x+/XRZSICQDGWEMYIyJgb
hChkYGd84LZyL6RLDFjcOD3bRoeDXexwRrY7OSnvnHvlSyGyDjYwBlmb+qRdRdPnqu6tVoZ7Rk8d
mQPusi2Yg8SrufUTKYpZ5c97L3DP3gj3Ws1eCH2+O2XOr41ZnvPbKeMQdeOi13aNO6tH07TRfdoZ
lIbjk48zNrrw7Cbz72ZL8NFaiBaoHtiOmU4sscdybzF3N4XHbmytVYxjBGqYyQRPOnYs03vt85Hc
5DwfRcMZtJCro9CkSDZ3ljh9qvXh1u19HCaMzRkZBJ+V+w7UQRbbHf9OW9x88hKG1ZAyjGB9oH/F
mqsDjKKLAV5tZ9O5jhKrCdqZG0q9Jsk7y0hU5gfACJlUStwj+GKJx+jLIi31jtRFOclYL1zZdM4d
em6g2LrHcKzM/UaBWfwvwBTloNp+BNypo9mX8NU8BkaxUJShP2ePX9pY5AvEL4Jy7cpebV2gKVdf
cjIFGSFnl3v2dGp5jL+VdkuA3/gdApsOoIqk2abqMMngn1HO+ly3cDRmT/a79cbUxMZjl8++y1IM
GN9Wbi32aIdOvqr8nUfr3lssJ0bE7XnAlqy6W0ISK3vUiL61Ob6JQoc+x1jSWOul0/4hnMPxoggW
Rp1pHfu2Gw42QT9eT/UhjGFhe8EUNwc0Tjeai4bO9N7jrhzVgGZJVhGWMF06ZnLiGg5gKUslc9pk
e0PdAgBrd+GCm0ftyFsE4wArSIjC1NNKSQsG/z0YuRMIOCSHbA24oCFIB8hQLHiNaDB6BC+cJQEz
0tRQBJkXfXgKBaSh2gkPWPYw0FtxidHx6vnY0k0b6VWNNlxfCyfEMv0B1H5tihcM7Tu3GX4Wg6+m
C1TF6mkRoQQVJaCX1wyvsl9QE2f8mH5/HXqb8hKgErslcKkIGGYeNPWXGLhtNi7ITigPfyun9N8M
5iESJSIHEFtmzMRd6I2k1wn54TmpKWjbWRNfsnpTkLBxHPNV2Mmm+uEFZRluDXRn8GjIqq0+ebAN
mc86h0fkSmONh+8qqtDPIlFS5WUyLhUO62HWy+7e7XlzB03WJNgYIkiyfGGX9yKrMthJMle7TkW3
ioRvPbsEV8X2Bejqm5JAdWxsJffr0fB5O3z85qUD4CU3kgyzBV6woD1N3XZFGTfxMfAQtwrKViiY
4CO1YLBFw3jx+bQvJZ1uo05vEklMOkHdy4DE/QiLr8YC0ciGOjwHj75vqz/9vGLwV0OVBO2G/Qen
78wXO5pFS2HXFIJl8wgTb8q/pwu5fKQcCdQ/Fiv+xPnN64j1Y96x434jPcejoeNBYZOa37mBiaeb
q7rp+yvQlQXHAN5Krobh3lr9MNY93+KgQGnUXX5kYU/aaCrPxeYCQQ2Vgh6XHRWU6Hv+7lfBVc+u
b2PFor8t6T4xP/qHTep5nztaRnx30Lvs+0UooMpOtkW2dF8IXPKSz50VB/5b3g0VpBDvl/kC6gXA
oAMIa77yM3o3BDleU66HDSeDwf9Eae9TuNoOFJcMLxNh2rjWz5YT0BVHMReBAdJOhBly2+biMVlH
yeF/2HiiphXN8nQwHvuMY7h6WidO/3ABWohp2jeWdb8sN8sFbqeoZQZTzQIN2m2fnQZ/t2y2Y8Dj
MmAIPtLgLDM53kO4PbGPF/SUC0C+63YV1Y0xb5R/mmH82/Q+8fV8BZvJwYkQ7ZRXTH47y6v900YU
ObBR4g3T+kOx9l/6jzw294ppAiE47ZpXVy4VcKXqD2EwFUHaeljR1M4+sRFW1TQH5/c+iyR2Qsu3
GPonWed7MXfqK/PFfxy96HAp/Y49F8X/3+JD1MYUcO5a2gE0NXIOoiflDxvuYDotmqJQsROiuWGE
YC5Uit7dZhA7LugUc+FVQ2c1Hq3QOqa5+TsgZyehh9PMk9wTZ7dn/t8cUvrKiaj9PnqehiHY5OkF
d1ib6Hb8z5ilmXQLE/XYtN+G/VbIOXi2bp/CuqaaaQTb2rK4TGlmY7CadnisUSPNmtFyKmMKrakN
CZYT9pz6yoGLeGs3x7LT+gMIN2Do4KO2p+CpIeN4q58q9EcxEEGcZPXhONO9jSq4szRUe6Pmidg6
Oxu9Psmm+i+GoTxZFDQNrUxM8F3/FBCkBwXrPpe48XZd0I8oSRsUNStG9nSZcNotWjJa4uU6CdL3
8h+yHyUxDPMxIDz6g/xcHvxe4A1DeRabcKNiHNIYMjPemkHC9C+4SuYSr6HUXwZRJ5ohQW/Ut+6m
ZcooHO1R8BrZ+ZHv2Vxr/ZAe7lw6VBNvgG/WL4Bwt7vJOuF/9l/R6bk12IoOvwp7x8b3kKViEiAV
wymQb7oacJtXLJFbbuXl/FpgDtjXktu3Pf0TEJPvwkX9NdmAxetaE7lb22rXe2V9R8ond4KLtOHp
DR4g8RVPn7HV7AVl/qrbkr7C1Ml2QTYSXMBYHQhDHnOXdcFC7Ak9rcfunR2MLpe7QEpBoKiLhUct
94SNQNOhchiMY19VLi+QmV3yyj1gyz9tXIn4C7w0ssuaezhg9z0P/pzqDphRhddhaFuqows3ag+u
J6qKNLzPlTgEa7twmOIhAD2lzh4fRYJ0I25UkvfYqm2u6HHAHSo2svIstfkRkIf+XKAWlSmCcJ36
0D1Wn4ahxjlsYblwsLaP7ICqfR25MKh24YiLxJ6M+27Mv3THHQPRf4zV4kHCUfOnAvy/46L3kpYn
4op3Pj7XyJuTcUx54NpcXLBDYGqpYDBVYtwXBjwjaSvwS36rEpFCKWu6GuN+tyBVp48+VWdwSIVO
eq3/zUN5cIV4JAVOC8LAH74Dir6cvSd8jMnWj+LIfBVnjfQuJFe4ptXjM2cWaQXnqbHy73xQb8JX
7f3kL//GLAtPg9u8pwFQc9x/L/U6HAkoXwGjGMzRIc52vztotVKyvNT/9E1qyXrkV1tuH40w7f0S
GoSIbjHmbdqQiFl7O5ukFxMXyP2YuyeFZ/qwOeD8hy7YbcQSkjozo9Rhoiw7jMFz7V97Nj4FTWlY
CkV67E0Aua3mlhdCrg6NpHMm91ljNJ+gszAKNEcns87BvCDwdhhHFrraIlIi310A5BXHlLlhjyQm
hUZAIBpH8PhCtSrTM46bGPS9iTY8lRej5NtVFris5foyuBkgksV8hbPzwheixmBDcL63QfjowoHy
C/8n8rxG7WuSzbQjhi/mRnhnQBWjy8AWRpAQYnbf0jx/H9VGe7Y7uZRU4bon216juWFQBhooffPb
7OT96kBtalvjGMianszejRx7NXaF1rSZBc6FVmGqF3HKcN3FlcE26UFOAQZpEsxawV/oWsKWWN3d
uAxoQi2pPWMHaAN7Tci0Mm+E+5Lk88lb1I/ZTQ9M2/VD0SyfG+C4/fpBvt452oFbMQOZ98JUU4zp
cT1yHeKg1pCecYySqFKolwjKXi6Og+/zz8GjBpXSOpQ+wAa0NI99LyEH2tgCQLjC3lj7lXOYtHDG
iW1QtFCt+F4Gs7SOCxd/Iq5gXowZh6dn1bDVoHeucuEZwvpLhzmH0jjc6VY+2kr0QJnyNx6/xR4Y
1PKgAiCowK6iHtPbHSuDdD+pHO8mXFXWCZ9cI17D2nwxTT62qxsApCIMH8069A589EB11iuQPAS3
XOXM4QHLnXBUPyym1M+mrPMcBFfL8syP3qD9zQeEZ2Km6EGjO2P9mKYBVO0xT9xJfU42T1qm1JPl
sqmVpo8QU8BRGkdF5UEFyZxc0B9tzJ+Ft05Rqt0HLuoINGEMZ7hAy+4fCxuntLDddG+6/CipK1Is
D+G7VGF65LSHu2PxYIAoR+dGyqGPt3Hf2KVOAiyxozIALdxSGKlm9tscDwbslh5S7zFsg/8Wql52
wcBr5PcId2sbfhaomomDT6myGNl7YBM2QXI8I0c9cGMAEk8NQ/lCxuKt5yJ/KJdt5vJ5X8A5Tbis
5QC7Bayw3mOcyLlzaG4EwOvfS91+9w6BHES17wEzVgSL2old6n6jQqaPhWDamEKuFGOhd52e4SVx
RXYzaSFo2q++DsFOsF6NvVn9C1v1w/8ZRH7PnaSWxukGIjYmAWclpYK+y9unoO2BzE6DfRwZubh0
++wf3fESIM4r1yMFaAPTYEf2JIhbGZhxoVni5BxuPQRp/gVsRERYXfNTCvDPDL5KutjAHBNEfYfT
3+w15b8RZUbc37O//iyzqzPj4xOS5/Or2nzWdpIhZdbmEeDND5FA0iq+OnftZz83X4XnD4xI/Qc7
s+voUPJkeFfHAd/cFsEzutcaudaQ9KLkJwi6qC41q2/W0RMojoYg0iGlw/dEWjrc5Q0RaeHU33wO
bvVf3i8up2WWcWCCiWDhpfZet0LfW6puhxLfvbiOutz+lTo4drHRvQ0C/kdGvVYNfdoYhjvDHF/C
0FojmFN+MtSzseuEfc9dp31ovIFS2dq/sLFtTzC22HNiTWlm9gLm3GSx6pYuGj3fT/Bu5kmXf9r8
k1dtf5Kkw1VmwKzWMnigDgjheyByW/ZYdspx8s+GZN+grObsLSxtyUPv5xzrVyiJfdx03DXXl25W
z7OTflo65OFDsVBSOdqL53Q6gx75M7dQ2X2Vq4Rb3P1kQp6eCclaoo2kUxEzXGfWXBW4aT53D3nf
Jk5pPOrWG8hlMOfCneJ2Vx0w0hWHuXPvidLIveWw7+1XnEf2CMTAInfrB/QXC8N7CpZHQCdIyi0W
um7Kf7DYKXDX3otvGaQocovJtqruiVLN0QhQjVhT7/7QDHR7dYrfPNM8DyambRsyI8pqzTK3xEeu
/hAn+hqURgQ3Fc5Pmjw3DQ2+DanktQInmbB4z0ocqeuZj6GyaFn0SxarYuLR2qRptHWGF7nHzZZf
E0qICLgCNvb8gX+LVgom010bCroB1/J+3W4Z0uZaLbjHehXsAuAP8BwAZtc1xvttDQ+5nJjLS594
DyTxM/02bKHXWcemgX/MVdZRYCiOdEDdhGZ6BoS0xWgS7j7ALwoZzHjvsAZDTYVFyafB3cGxZwHI
FkH1EJRZtoVO6xyk6osz3JCoZ/ypVAGeu862PZ3v4ko2m5CssP04T2lXsd1sn5X2pcYG1wRTQCwC
DzkZP+nN50W6GXM5PN0eCdwYxiLmwvc1GJRrIODQE6vH+rCy79nZEwAZnik8Im3uhAIY6GHbWmLP
dKQouyWBmUrG52z5KmqwL3zl3sKyvpQVlrEuNXcUoiQu+VdkIGAZy9DcURuHdAeJVG0yovMEX0UO
VwwDvrekM9McjoCuga9ghI/NWDX7fgwxbrx7RWbGtygl9lkuZfSvB5MuYpTieS7dpMy3z1TPSPqL
+Kbb7UV2ejuy5qbhOVBV4ivvpMNZHYVc/q39+FhYz2QjAPPJ5bVfFhKqZGVxCNEuXffGQeqUg2mj
yt32r47Xsji9tQPrgYcO9WzdjuwW4qwevysH56VaQ0RX1kIuv/qNXMdrb6ZGzHrmn7BaPnIEBQeu
L4I0+RlAGQ5TDnA+q8zhjk+zaoMr+WawXMuDQnneiRBAutf9Zxbezzj1rz12nqg0r8Fq9Uf4lXDh
Xns207cfiWEvmH4mlkJ7dBBirsQOeILLD9cqa3SWYjng9ru0OVnXmSYvSiXByrYsASbIlzCO/znG
z9pcMq/EVFyJ/TDNb4LG1ENtJSvRA+b9jAll5IUpXCwmnu88ure0E5oWaXjeYMxxgcbRsCsIVz1m
A0Cpxixj6EDtJd3EOwpBdgod+oI8R9A+nXsxhpj/aKW7H0GNID8XayyX+Xu1ll/pEyyHFQWSMYxI
j4UkRJGYBJsTYfVEJIwFVr/ihGR9crQWCuPx6+W726BCr9j2rxe3tlSF10Yjb4/BbzOFb0pRVIUI
CcR3BPvmqDxA+s7OIm+Dc+dh+KKscdcEimBUZsgzqHHgqPnjAFtKFoKdI/AbVlr+m8VHb5dbKVfJ
ycUxmFlPU4MtUbKkcJTTHmQ2f0KswYPjcQRXublFpuPD7myL+YJRWrOCCi4W8F3elz1+L856LShn
9E1Co51JZQgkkHZ/WzCesfgxrqVRKuE1FLOgIYI6jh2Bu+IoS0udaMiGtRkBd2CRATCXPFD1KUuJ
/Jln7+0ms0OxfdE3MsXcRcfY7BJrDhT/XExrhXPn9vPLYIUpBdAqXqf2aRhtk7okPnC6Cz5pXUDL
BqUcBJiOBLjBjXpkVdV3dgUjxBqxq82mKG9wYT8mZIx1dWy7I8w6thAB4ChnQt4FOpdT/YgsTaSL
VUq7Dz2SMjgfdzV2tmwRDhK2lbCplIie0tj7XAD5dodbDHUeeyW10VypFCc4YT8dP+gRV7WZhaj5
Xf8A6RTi5TQkbea8uzQPVs0PKRQPdVOO8QbgLHe8w2ZSiyp6Dh3zUGGJjte5Q8CtYCbr39oe2UJi
+1nx/MUOGytukzPNi/6HkTYQx21G0fFnqV+DwAhOGW3L0aQXdS5WBGkk9ygXTbiXUBgOY56TS1r5
j2aq/uV5tuJgn5eoax2gO8U+FLCW09r5waZ8XOkZyjTdDTTC7qHlTyhqttihjfrlXQt/cukdbtSL
56MEeRy6CyeLadWvbTEmxvI72elxsXL3zPLmrJGCtIUaNg/+flCNPFuk5snXcBcTmMqCMj1OK02z
4QlVIn/AVP2vWfpxZ/QML5QG3JFgeZ4gW1yIqdEYs90NcBEPk0dXWL9ZC7tlmTiYR/7H2JktyYls
WfRXyvTc3Aacsa3rPsQ8R84aXrCUlGKecaav7wWpUqp0y6r6BYOISCkGcNzP2XvtzmC0Mgs5mafi
cWlJpEd+b5I+1sdfHYtGXDVm1vtQMR+rSqir3gveUxf/pDNSI3g8tAGhheBtqfg09tdh6E7aSFCn
Cf/XRJ2MDRGISEQ932xo+gkuXBx5lOVUijWaZCIGNaftk3a6R+zICzqw5ENqhJ1qsMVHkD0sfqEk
WgG3alb02WoUEVQsQebg2NLIysmAM+LL2FbqOlYQqMWltRys9uy271UDDiIQJ3/lsARwR3gZY0v1
OIkIzfWeEVcxPY7JabfSj53u3lRpSfqyqrg4zrsTxRwWjOoKoRAefQ9gBkmW60alUl4HxibgkSBr
/bM33hKn7e2UnugDd4jWJD9R6A6cjzgonovS1q+Ecd50iffV6Lk9hWE3pS194IfDFyPKYY3w4bOR
4vVROBPRTCTFlWQz9DQys/leHl8pjirSQiRMO8e6L2vnXgqj34nqozWkzXKULq234iVoS3zSikIl
SKnWAi06PDCbEGuVIQVtXL2GRlQtdGgjpCtXnzNOAU4rrgkmlizxFPeLLFhfexS01TZVbzuWGCYF
lAUZb8Ha1JBPtlQ+VnbOONr56QWJrIcNvn4UL37iNVvXQajVjwOKZ3+bROIUt942MvioLIvDJcWB
aM3Nsl02OGK91Cb9nPiiVZKgkNX0T4ht6V37IVDa2F0AQAAjiJD+RhUAWXq4tGXmHk2SiZct7Pql
b54dPSU7V1zzpmqXpUNVtoHHswpNmVC0RPiqFUq0HeE2IIHUnpuwqo4WwvojaOUXI+qOBDLPzTCL
BTauEeRg+UoB4GC6ICOUKsJwNYnLmRxtBdgybazvEyMlkwKjdNqHt5Gb4bKC7BcYuKyUQj77js+V
TsGAyb99akPQRa5Cv8DyDdh1ogCXFHJnQileVgdQFFutJ+3JH0mlGlGesqxhEVOWe3rP9b5znG4J
/5L7YGlWB80pmL7L+MqsWDvh9dNOMQAsSDb9OTCmGljvvVf8PMWOaN4qUXijzJUgdQrcojOF40k5
em7wVCapSqz9FAjH+aMWya6W0bk365D2MdlYk/mAqQxYfiQqmo0AVI1wvzDEOes6AFMbJ9AR7Cm9
ImfloQ+6tynwzKL1rOLCe+8i1h6pllPy7dGZtJIOOOl/lRM/Vn7X0GWheWLLji+hboNjPVInR9zT
LGo9TLZUF+VGBeVrBIl9JCWK1Lts75ZT8LEIPxXWRJIC6pyT/VM5GDt8Ipo9y30ygms3qHwfeqBR
qCzvYGnvyppujFDIIyR1MVzDj5drarvx1SzQjyOHoZtEHhqNNuE8CPkR64xclR2TQhZDgEL6fEn7
TnClOPASmBOrncyosp8LcvxkG51iQxVHvf/cRKI8ymr06LgmxrYAZrTRFJreDkm2WXzN6FMDPo5I
zqDIhdGI2fN7LbHqk50iU4KUgRtt8uLX+RoMAp7xSBydKi8OZPmukrHrV2DMwEo7EmQhC1mWJxrd
2uGOdzKutILBP6I1rWbKCVkLHlmfMmadXEIaVth88MtDuscDK8p74OTnniAcEcr2AZHBLVeLQYGO
NRi9xc+NZYwn302P0qiLo+Oqn71G0OHVLECWRNZmGTOiyuiCdUuHdQnf/nlwQNFl5LIuiiFuN4yt
DNzEtCtO4CyLWqFA3Yef6EOhprDTUyJSSnVVuk014llKnfed17YgYXnRDSRN2lF6GbM+2jSjjzqI
X8MP4AUTQL/uwUZsqhw9uh7oNMyLz71VVOcYh2NCY3GFu1lZ5Mm4d5kyUcYfv9ZD4e2EPXQrXYTU
/cByxBl4HB/0t57WH/y0eu4LDSQPtmQmrC9jN8EUS37/1Mo+2iazOD1Ri8O8F05yUVthPTQMnBwl
MImDrJhtRaD4MmPZgp9ZkPGUH+CoZgecvN/3fnns7XB+3bwRU7oECVeXOiWGjlspXb8IL4BIsET7
E0AwkTGKWhLg9LwcDvkEc4od8aWka7+SDl62Bmchcwg29TRmvB3+8pjeYK9yfIeTDjgKnbEeRwAS
ZP4f4rfJPqAXy/0TEvjEfXrbqFnGF/HjsXji/v3y2Pzs/+Mx88e/8vbv/eWf4QDl6n8QOY6LCgaT
rMPsMG8wmPPmG6X8fsy6HBSz3fBgOuxG4ep7OYzZYX6Fja4mpljyxzGqTbKtgwC2cd3kh3D6KFBF
8kMcVthk5wffNjXi/51RMcFT1OrgTaAUw6DUtLRc1drgtbwEmqgpg6DinffeNr88ViH9plsT7c16
KA86S8V1G6hPnY9XrZp+uXnvbTM/RjGQErdhvseC0BxiCs8sjyFETqcfdrrvm/lwPuV03w+oRf35
6fmFb6+ZD/spyGRy5OWsOfV4a7p0CxRYrCTbt9nrSRxMZ/J8OG9+evrtwV9eM5/eb8/Oe/NL+ogI
eqeElhJalUyu87k9f+2FVb94g0YWuFFh4P2xaYoJJVmUObqj3BuoM8Ov0FujOMx7yJNYK43Tg6+7
vzyvT2fs28udGJc/4G1m6xMFSlH50Wgl88tNh2+PDfZkypuPC7WBATFDo8q+fCgaqFJdQSugxK44
DQzzmDDvvW0MW+KYno/b0eUdzrvzEGJOI4oce0zlhn4bCr08jDZWsqi91zJDG9fzFzVfjPP3Ro6Z
nu44tw9FN1HqfrzRoChyUKJYbw+Yv+aT/G0zn+jddLa7DisX3UEImNBjTKlHq+gBKjehysS17ky/
87yX6cYTuewOpU8tPdjTaDCIHhjIfIxL2/6+Ox97IX/8+nfTy+fD+Yl5Eyck8oU6qur5wlIdUYyv
u0VDdArdTq60t2tuPgxsosW/P6Pmf+zO1yCE3pWH7J94a1YL8FcuSLDMbYRROa6ydUCx89BIrYRJ
RORYobdH8n64soNEJXY4GA7zpooYNd8OUdR+qoBPrJkQEt+OmA+DSDdZ0buDOW3mvcGrv+/Nj70d
znuKEj2naqGvCV1FsoTPRyeJnVoTGIxlaRTlYb7MS/LWDvMhAYrnd7/997//90v/P/5LfpNj7Myz
3zKZ3uRh1tS/v9PNd78Vrw/vv/7+zgRg7DqGUHXXUYUQpq3z/JfnuzDzebX2Xw59VeF1WrwFmfAY
kfL4KWxZa3qwXJPCEvsOk37C8u5m3qQtFa24SD700TUYYbrO0Suh2SXLMMiRoogUN7ks7EvX0PmG
+mCky6qX9bXU4VgGJpFfdSC8w99/Ctv4z0/hgpC0hTs5mhG+/vlTdL6DKa8O4q1Is+dCUawHYIcO
S/S6ubfxs64AKWiabZ2susX+FBX2Pu6jl6S2r1wb9nrmkJumvH2NS85p1V+DiK6GnfXPOb/RhMer
r95gk5qR6hjom+qrrybmZcRyBPJdea77WtvGIPDXoon9NbxW8ZBBuUzxGC5SBNKXtm3EmivwMEs+
a83NyARD2lYZlrJRoo65YTx1zBJkqaEZdvsaMU0IBlnKBaFm1PqlR0Ra7YKCA4WG/sZrYEPYOVww
pBSR69D7y5yPfcUaxZY2hqSemKiCnpHdJ0slRGjiWcI7TiIPV9ONXSCKFye0q1tv2jRSmhPfyT0y
Dwk0cm4QXIhGPcHjN89BYO/nX+2//3Ty1fPJ+CUvBnjmQfPL4b8fchBW6f9Of/PjNX/+i39vX/LL
c/pS/+2LzuGXKq/zb82vr/rTv8z//v3drZ6b5z8drLOGiIpb+VINdy+1TJo/LqLplf/fJ397mf+V
h6F4+f3d89c0BGReN1Scmnffn5ouOkjlFpfhj8t0+h++Pz190N/fXbPmuQrzv/ibl+e6+f2dYhv/
ErqOitTQEIqqhuW++617mZ9yzX9pFh1nTagW5mloBe9+y+C6B1zs1r8cyzAMxzRsYQnd0d79Vudy
esrQ/oWwynEcMgh1zbJd+90fn//7IPL6w/31oKL9MqjoDoObCV0D1ZWhuWRl/HI5jolreqIiAmkk
kS+W9KvbWMWvJ4R9GfPQucx7VV/mR8BQxQDbwlSpvI1p7J1HoihXlkKKipG0FHp++ir/YsTTrD+P
Fbw502G0s1zX0UwX4fmf3xwcUIHVw5RHtHfY5pTcUz+rOu4/5CfVbTdtmglOA70T9StcMQNv+pS/
8E1E2qZQsMFD95TXLlSHq6Jky79/f4b66/szTIZl0+D34y2qzi/vjyBOK1NqPTpqKNVqRIvM20S9
DW0jQ8DUnEwP9vfK9SokMj6yBEi43oVGd3KOvCq906O2u4QqFv7pKI+Z37RZf5B93L6O1rmnfNHo
xW1z8VWNrLBd26lzKFH3nhQ9GhWUCa2Kc1bYa6Nx+yt+d/9BNCtJitN9ismPYBLHcladX+UbH/P1
AaaDe0imzbznyDR6HSr+NFL8fJsyOKF/vk3p04nLeY0rjquHXt4vZ5RrKI7bCK099Hz/q9xkfiX7
MX2qPYfs1oLC1GBQq8CpW57HAg9kpI4bWaPNdHPCeuk204+2cZA4ujyjB7N2Vc7s3cI5sTKFieCi
dK1VT6Ef0431Oa/jZtuHWCfUnmI/7GTLbHIK26H7wTG/QJOAueDkn3RsoCuroIdZ59ltJANrWdP9
uiQ5UbnDgD24FjJ90DJnhAwsh41hFHtH77E6UL7nnxz2blyfMJU0t/X7ISzsfzibtOmL+en+Pn1x
yIFUuEGmqWuu/svZpGskWZlKw7wfYFwcIxA15ZSJTjQVCHZD8IVYMAlCHWkk6wfLKbqN51mcecSm
r//+1BbTbfjPb4Yej6OqusXo5NrqdOr/NNlQiWHSY27UB0tPCK/QoupskmC5GXHo0H+x/EvaYBMC
i0U6qNjRSCmvNEDXHhjTE+Wp7kSwX3dyuI0ayLKHQN9UjXT2TGPPdpkbu6HyuFlWfjOeCFQdT5oK
CxfqFCui4ZOlaVT54m9DKR5naqOSwyctbAJP0Tsc5w20W8C3b8dVFUf/8C3o//mTmLaJD1ZjmGSA
tn75FuiltXUuXGZ3rXmap1V2UHzQoudkAsB5AC3UgMJaL3R3l9ZQ9LJEp8RYY7dc9nIwz5ZOK0bL
J6VlWKyyKOuepNzobiIvQ8VYagfk0/lV9w9vXPuLn88VKqMS80UN7/4v55Jftwl3HgPjZwctBoSW
hdpSItcdGusMdr4gVKNDWFtom1CMKNLQ12OcQ2jM/IO+WeR+HltBglE+LEVEUa70a2WLQLv7hzFe
2P8xiFrWVFPiy+Vko1Y93QR+OtOAtOie108rlDIEIaB0dCqGvtmbHoov0E0RWQFmdTvv+TSeXve6
yafcWI595LYZI/1poq9FVOwCLSRDY4xJaYDdISpVfwqT2jzRrgddr+Tn0VNNbMPdeFemgmpWM4q7
KiVxlhp/jnmEKaA7TbFW2yBUMHVS1T6jVOHrsUAoRwLllYOqdFkkkPSBhJv3QCmoyEiUyzQyNqXr
2Iuw7QA3dB6QN394n2JHhi7vBiwZirs4a8dtPop0RT4FUsqksTa9n+V7AwTGIte64C7XogfWZd2B
7yVYurQ7H8vU3FcAXgMxwqDCbL32CsyDrR75W0WPzStEDBeZPTPM1uz2ih7Wm5zA1WVViHjjSOXB
cVHUGO7gLeqmDy/4Xl6y1uCmHXDr3apZQGmxxUAb1X77oPA66tFkSSJhJthtCkqx+xzFgpoBQbRo
6vlFdXR1W8Hg1/lXR/ThAaXAHQmV5s7DKLcY0LgWQOY/gqphrgzWD9wIvyn0TuPYlp9pqBn3Rt4Q
HeCUPWgR7Rum4v6OpZq59IjRO7dO8MWYiscUyj6RZ3sXZN23qNUmdnw6LgewC344ZLdZUlSY8rVm
adrjoSYvaSWr1iWomjYboTJ0EGv9rJodmqAuudcq0yLSKpTr0RNH8nmR8Gbig6AhEZYWUkc8CXS9
8EgAxTalfxUW6hFJc/QgCx37b6l6mCDGa0vDgbrU2IOEKojYm0zAaYK5sYmC244kEzkEEusRQoCe
8IAWfOFZybuPcZz5DJnyQrNa2aUZSNwJDuUdC59m6uCFy9bg1GhaktGkp4637RDbYDCyepc4bn9R
S0I1koFoRgRfyT417Ks55vEGQQvZMgvpYB9EqqZsWoX0o7g2xQalSbpTO/PTSN7lIRsz/2B5GQpF
xFYmVWbmBl6QuYcxza6hGw37fqoXtCZi8koN7nOvVs7NxIid9/Jja+b2uSpQ0wF+uHG0ND86ClgR
EnpYjwXaAEk0M+/rDljMEA8IBzQjx24UZ1+VUli3MY5JRUQdNwMD0TNi+GL5/XTEjr1pffK4QbOB
ejGEvXFUjLgjI0NN85geLaNxZyOgS+VXCuQr7sneh8obAJD13YMW0Oeg/b2GoWwffc5V7HHkaoqJ
31nYrruvKfvc+Fa6cxAIkmGggoyv/IKqsQxJi3De+4KsvxZd9/OggxNUcvE44hPYKaRpbuqMK9+s
y4tdZPLg+52kwsFGdupKKbpqqUszOhqd4W74imkFeWTMGO63aQeoPxksNoEVrrQIA001cWCyFpwU
4SX7EVcIOi3+evRLoHNWyuo4gyklsOy1LWYCp1aNh1aCtuhFEO6aNlE3ThKGdxgG6B0XytZXgol2
PLSHoQvaQ5aV7cHO82CtdpzfOUa6Gx+hNdgYMqfpy9/MG9MMIpREw7hvs0xbhSPk6th3kKEUlXNk
Vd0tRVn4a5EaRy8HHFGY4VYTZQVOropGAk31nOiXaTcHEFSb5UaDUkQnxPumjcBtjMxxbn2q9uvc
wmj29liY5oTrjZm71aeXzK9TZXonDZICU2xUaizd6zBtPLut0eUUj6mdaMShT4+F9O2Q+gPDwykA
Rw0n3sL1YaLkZKgtsqptCBDH6dslKZG2gUsLX5FP5ELhtlTMBx++772CUnd+kRsX0Y2ozLv5CGQ0
XqGaXo/qFSj1LflZnXy8dkeWXuZZBOAKkEnSFOeoKnDZWPQ0tza0Kaw+D25n6EcU/voRBYb/D3NF
XfzH9Iybpsv/5tqWSZv715tm0zcGJZr00FN/3GChp00TAqPfGVl5agXz2oFCzxA15qlxrGbjdhZN
pZI43hiSzzXk/CesczggOf+sOyA6jEk7lnBl3hO0YW1hfu+kE0JZqDEzWRW4rb+fYP76CQzgxRSz
XJUFrKnb6rT4/fm2j2KghMXE/B8UYLCpoV9ejcICpVThtUXOho67GG9zZ9QeO6Xilj6kq9QcEtS6
HjCjeQWotV9N19Iu9sRpZApvLepRox+cmSesACi+JJHoTm5fMqaeq7//AKbz68yFj+CqTI0N1Znn
L/OE/qeZC04D6ZHEY+6dhoDoUZHyYVDoIEJRTXejNfprC5TtpYWHkhlqcA6aPfXt5i6M1eaud5Wl
kQrvamXghASFOaRVnnsd63hY22OOq2v6VPNmfoLOxAc90uGLuoK8ItUHF+G55j0oxJXlB/5t3CTm
vZECmiaQsdvOT5qdUx/RYHLX1XrzPq6x6NgUw3e4lbPFXERkjUvUTNwXIBmMGFglAcwOVPqjNW3m
vQJAxjEjUIxlftpsQqegDe3EQE5qnTUAhMcqE4/64NRLPICUqW0dZSlVAcoeqwHsziUoNIIHil4s
6LoOSBhxTrZq0O+yekh3VqWeOkQDEETSMrsh59ZakBIKSB1iO3pjzf6oNunewiz8iFRbHFVZbKwc
gl5S6c8WULm7edO1pGyVRlCBNGuCu8y19JXnk1JEG2kXZqP5jI/VXpowkM6R3ZvXkBrMgqLjg+eL
8SnAsyJWRSF0cHO6+hkCxE2v9v5TS6hHuTA1K9zobUZDe1R5r3kbbaVKCkWmSlIOweyxvhyGS94R
zTgPftCj0/WcL+wKTLpRPMUktXoAoZn1ajXteXoz7rV7nMPwEuahbh7HRrUhdsjS403SDOTyTJs8
s/VDOm2kVCyQNtODUSs/dT2mrFTIu0DPhuu8GSDYXC3TMrbIp8Hf/XhiBZ++vvNBF1Ze5yO74KjX
2/ZAMBQ9g75q7qCXP2kJ3Q/XU9V0EXmomYOaZj6G7f4wb9ofe6pt07Y18e7V+VD3zKeZ7Og09YkN
98ozBDOkoMJp7HUz0tT7/qIIM7wIhg9zMVcvdAr6XvVcT+PTvKlsZ7jATa8O+VSrCKbSxbyXTodw
n3fKCOSm0NpvaXjysXQfVcixVEPZqwY4Fq5FvEveWgs1dVSyOsryrDl+ec71zoYNUSPQNMbucX6M
pMwCzgnk5p0EZruDDUoGAYHJ7zsK7Awid1qsVo91p8HiqZt226qguvyCafPQieEiekELF93PgwYq
xbPU5ks9Ti5WQfxCFhOvS2gFmU6gG26raa8hYAhNUcdj6bRa8K1u12dBf+4j6RyjAIVjVFDJ9qfM
3Ja19RHTSvcasNdMh/Njg0+MJ6lItEbxrq+iTMLsB8pysVUtvsSu8n3jp4a1boEkMNn74wmh2O3U
gKpxrFPjK/sAy3pKvOFc7bNMjPK2DsE4iTtrl7eiuTUmLGjTjrfEPy2wdMbwm+2JT+q5yz7KICdC
BTslRY4atcCLbzCzujNLEZwc338/Gn5+55ckEzWwMaPUZN1RuJl1DErN/GkDzH5ESUaeCnwkB2u4
Ya2U0UBYULRQK8v0AUypcemsAnyByoCUtDI/vm7g9yNIh07046G0F/mxjMsX1aqQsWhDRGwXYiRL
T/MLmSELGVbqpmoNe1OSXXeTBuVE8GU8rktHfcSrKVa9Bp5ZOuknE9jKAXhftrVzak9ZKgtIe5Oq
adRuQgjMBHCM2QqZkvoRuAunG1OL0BaId/PxeVTSelsZJrWUoBvXvJ921/c1NgnEf8ekbw59qgJr
7KOdOiEWfNOLtr2NFoPoJftSueKRLMB66zTkk7u8CVerk31t9SRydLVz7JBZlJZRA1Q8dxXssAVV
6XYFZYd3xG+o63IEYxDFN5Yn4xtyJ/xTLJqj7Y6TbHd6jIl8tWxd2W3m180bHU/5AK7bHkifYkaS
bjVlRN5RaIJwFlihm/kKmhnj8x6e3fe99OPdfDRv3i6++WWgAU1ucBi55ydkmuUA2aZr8/U67AGk
lsGX0mrEja2n3dZximEfWal/ZkkyeUpSkA5RB7Mi7JNTZzjKVlHVm/lIDYdTFcBYJTZ45LQuNdzL
YfLetcWnsky0c1iWLpkKpnVGMLXAytFcvR76E/D79wDhz9HYwFvmdrjPIoOy6qgme2sM8UJFuWQ1
bzBBCilYtmYSHqFld+cy1Q+1sPjHrElonFjkoJlKSEPQy/eAYZqTq4/FFglMeNUrMaxlQjOqdcaN
AIIPEEXtATsn3yw0RCQcZnLdA3obytBmICUyrxS59s2K+tvSyFZV5t+wMiM5BejiDVby9IYcjegU
9PJYuZ6/r0yEKfZQ7hmS9UeDcLMDQ3C4Zt2oo6bL5VngyJ7CWHGiyYVtmOF9YtfqVi1EudfDklve
yAzMcRoq7IKrvB2yZZBL47FLRhLoMgDLreXnH8KujNf1mC1E7pabefIhsiE4u6b/cbATbOUxZV4a
Hu2JhToxaki6Xvfmx6wCGgFpTIRB/XiiDIhOTr0RC2pFRNQuHrLgnFCKfN1gTEbLqaerGnAO4Xx5
8V7BdF1vBsCR2w516zyIQunsCd9l8zqmTgMrNQOfCj0VEi28OtFYZOtR04ylNHRYYK6LP8UqANgW
xF3icRhO897roSnLrZHLJ1fr7UOS+DTjUn3tToXOvtE+oxcNttzDsvGuQsoD/Aukm4o4fqjxeala
jsL8x0eYP1GOi+Tc1FWy7yLv1BCAA3oQQaJKrik5GkXzqbHM8KyzvElytbj1p1z4NgAp4NUJgsgB
OIRJTyHUu5qETTaIqMKV3g+3gR9opzEZk5XbITWd5xLEgCNYT3VzPbkEmHf6R5y+MdRkpjJjR8z6
vJnnKU4QAhqZHjMGvdpDmzukce1dAqe9FgbkeztsSVOJyGoop5oQiWd8p276NCdhdwLxu+2SW24q
54F8ADCrCbk3bVjfTdrLh14x8kXtp9u68ifTAA2NKLUpzlXy2EBw2WDKtu/dpIdpk2U0gudpVAfm
DmcU0qXosaCPcm2Z0iitVVzm2fEcYY6iz9hR8oCL51oqDVU9PtUBuYGUuACAe8gg8Bb113kD1nm4
NnzJC9aHEclrPBG7k44Qc/eWyCdJoHkgOSvsMFhzgSJ67ppYkgVgYW+IYpg1hIxudOSrKOXLFsOs
Cj4w0wh3Sys8M6JLd6Be1EOtJyU0NFE/lYCndnkJJsFBw/VIBsqCDh9Nes3sHhBiw9XQAWUanSaI
otaPFo0fkLbUGxtTBO/1xCQYaHDGs6TR/56wwlUtzfAhxL93F6EEbKdXZYNsdlmg0Rgz9xAwm3vf
utRT6JnnJMW9VpBjklvk1CIAuZ8fIuAWmZ+aRrvXV7RWeVYL4/XJ+SG19tddqzQ3ZptX94R5KbDU
zWwfhbU4yoE6bMrM6Cxxxi+LzkIVzKpjHcscfKuOrFVt9OrBMziL4I5dbVAkFxaa6nAcmBkswi5X
zrWWHAdoDcti0gc2JbWRlSINecrzahVmwM24J3DxayFOhPn6ni/taqVntqQLOVow46brPFJribWx
tU7m0FsHgGzpHvLLOlIb6zJvemoT3HoctPSmRwg33VHBMiJmYuPYZDzI0L8M1LkRKzv8o1Kz9jE4
o41IkvxjSpEjycFecL/v1qMKcq7zI/9Rw0x/lnX0udFa/1Fv07XN2m6VOEnzMR7jdS8N5ZFAp3KH
zv41LXme0QVjmxwrY62nDe2lBNOr0QL3EK5GnphFhr2pZyD2I84I6liraNTLI1KPD46if1THVL2L
VD3EeGjmK+9xHMhGSC06uLaihR9JC7utAHXfRSFlcdS+FxVtNgFoSXNQR8Jfi45THz/qoDTIxlNg
2m3REDgKX2YrfF/d6RI+Cb3TeD8o/CB2J0PkUE6y5y/vFKiVmJxZRXoR1F8LycZn6pWU3aEXBX3Q
nWRc2tcorZd4Z1YDwM+X0Y9uDQxAH1HoQ1CJHxG8Bs81lqjId9Dpyiq55GQ2XjyySZYQXJXn3EHN
HMrsycrSfAfjMN+Otmnct47culVI5mIovxRjQAyIU7W3QhkdghmiHgSCpjzVSn7BElae9ISSGSlt
ECzKtiIJJEg+ED7CREmDSEVGaJQ37soMUL6T3LCFjUuGr9OcU3pV14Rl8wKXQbIkndFYaYHIry0G
6VVvLmOgezgZLbGVoQGiUFc/uHR4kVFXIBSczNpHTPa53vSvNkuxQ+Oiq26MewfhNKRXSqxRCcKo
UH1mhn6xx/DlHA0SIxeeLFQME+nB6KgF1lZBXwJ6u6tn5SpPcN/ZVpiAU0FRhnhaIR8TiWLYwNf0
3suyiFgVuPZ9tA9VlXKbqh9H4hRo8qevosoSrdYWJP6jkGV2n+1ZW9+2SGM31NwguNtyvENX3m2s
uFIWtIgc1DSuXA36NWH5icq9hhVHyjEyrPQ5TQVUYTdyDpFanSSTFd3Cpmbd6hXhTmFnJk8oalhZ
VQXNyziCuuQMOOWCdCkMRioZ1cd5GCcDhe+UC7ZHlL9UW01eaD3Ki1njggy1lmYDinVJkHHi2Mpq
BES5sKMeFnMl3QsBXAUwINixREAxbzPADWDCiUQrV21Q454gp6rSYX54gasv4oHQXsv3zr1R+Te2
b5XMcbRPrB/Di28rKn+satv0BZd8tnF9pzsQ4N4sG00J1zGEtOm3oM0tsOzCt8ufKsTlUf+1av34
mdFi1efjKlcd5aSoDsTb3t5HTJ4XBc74xGqyLSRn/DjRl9QJSdstyHHehFXDgFc65m0koGCQTmYv
CFsG51Mpk9/Xup03XZohr5TdeMhFad/24I13tHF9KNMxZ45W4psvvVPUOvWlKd6ntq/e6b17F2B8
ZVLZdBB6TDqW8CCo6NgbqZqPWgXMRbfNYe+ZvLxvbqDcuHtFyC8CDPeNvx5UlfDXEPJS23wz4sig
dG0I0LGYRroa+EMbkYnNmUhijA/rr6aUuPZjUHRZ0DSnLpFrtbRBE/vYgEiN+OqkVbehzCdP0dQS
7qvu4NpJe2hUUoDIGiDABk++A2lzAcIEBF+lvFh6634wPnj2Dkgh1KxSbbemPj6rTBhuAkoGYHAo
6gwgjcout498I8PCa2H9KrYGenAxYN89xMrW8GP9FKc2fqmAAKHIJ5XTcaFP0vKl7AuqN3MU7mrU
UUeTeSnJhaQkxtq107/lpFKcY9xaWRsVk97RWxDNFFM5oFgpo1MjLOobZEv5SozcAlaxr+kklxYn
AnTVdeEOZAcZ452HJ2+rd1g87GQ86sLtbvoW1NqoJPrOKGu5LjSjWAdqHdwQeXaCG3sexzg9jQ40
rFHEhIwXqMBCe6/OU1dQ0ic+DJ1x7lFB6q86iZNDd5xPYVLUu7TSzoaqDksWV9HylJTc2vWSZMWO
4cMqOmWFuJJvsIyp+6RI49GCXoNURitFoTUROYl/pHfNT2sRrBjH1sUxsSAXccBZY5BbhdpIHAfp
nuD2yjuLrpBV2enBxQPL4IVFRI7yqXIlMVIm7Wevqz/UrnpNwVNSU+FP06BY9kpBkxVWzTJqGuLC
zNK7JRjHM3X3zsazv/DVSt27Y0kqmMY3XVU4dobU30d0nKCh9lsEoYRYmyaLX6txjkHCoKqaBLxj
FTwI4iDJ7CP6x4yfQi3Vodtm/VaU5qFooVl5fnYSPZE3wFfo5ZFE6+i4cIoOv0sllE2ZQYt0A4t7
CbYn7ITBQxAJyFzKTpPfNOhT+8gMyfZTcMDWVf3kwy/bmaFjHyIP5IqtU7FVIltb9xl6pV5Heovh
qTsahrmPMeSf8V3Bwba9cE0NnXxUaiTT/Le+eFS72hw5elBHPWewNU2di6PmJI//x9Z5LUcKbFn0
i4jAm9fy3siVpBdC7fAmIbFfPwt043ZPzLwQgMqpTJJ5zt5ro0NC/tn3UMVqgTiEhhmlVckcEwyM
HRa8f249sYBtXCQUySmiPQmzH5dN+FvxiKt1Zf2RmfzKiK3D6JNgO6X8yK89XMmSSPXWbyiVuOum
x0Qc2h1Veni5sPKWwqjEsnT5ODxBCneJd65lpdGY5bsTgg81a0ZvmfZM1+G600mvShyussVb0+Wu
s+8V93cmx3BFZoEwdWOH2eHiYgs7TIHZGxdfGCGUfNhkDW5rkjHiIFdfc/PKpFKlCIjjufZTcSUV
hK8Grp8KNp3bThhlXCOEuAnqeqTSgKVby+a1axBoTgPRgtnVYhSvDnXZVZbo70hOxcnq7vDsoc4V
+m/69dmK+jDWndBLbt2Q3wD00lSIRnmKUvd3MLK+wVrEj9siCq80jVcNOxEW6Fj9YSTtFQCrsQ0q
k6u93blbuvtAW/lBPXXRG2V5RpkeD6CfieoUxKuI+A6odta2A5WwUPvq0gq7PQX6iHxV1TaMLXwI
/W9R5+bdzJSj26rEV5bOrWz1z3HUq/XIWmdLFaF8tJbcNYVYCwI/tnSLIF1V2EGsKQi9A8eNwJX5
XezUX3VlLuMKm35GgQPjeNPt2tKEhgL6jGKlfoS32+BnwnDWIoYStGjWRMti0xnVamrUtMvc7oor
7c5Lm5skx/jDc8d1cA8EjkJ5Vq97q3Fem7B37ynG28INnVdqnek9pPJFIg/wCq5Aqsd/R218NUpE
MnVhMykgPzlImCKPoZM8W5H2Jfw/oe+WR4Fj+1lLXODnSmhjlN7ieYBd5SsPGbMWbOIL4bzwlrDz
r920fslZC1jgjY5+QDu/CGGqaNjKLwKrLRHHxzRpH1HNyCJDrGokkpY7Fsz7ss21U+WG3Y0a/vRN
04i3Ss3uRsQvHTMlOEGtwTcdAmGA7wWLI9glpXk0ClXZ973yDshS36kRb0Qq4/zJ02V5tr1mJ/V+
PCQADA908YOlPTS0gFAcaNO63MjlsOaqGNAyD2JGXsFHZbKw8BLrzmS6pI5DMFIM1FoazbL0hQrL
1D+HfE225CGBmY4URM44PBwEiIciG/EmYCmSbebviGHcy4CQ8iIm0i+yQyYEhjJsgSVdmU3m5wCd
AtRkNbTHZWsIhvhcaXcJoKSLBlG2V4Ni7VisedGstlsdQlhjG/kxdIdfNizltd2QL0XGNRT3gFjr
kqQw3sdPM3MhxIZ1vqvN+MuoAY4FbZGvXWn9EurQrkCovLUiF2uFcnMfhyRPGnG+TmLi3b0CYzHu
hGc8DcGhJyzFYlZ8ayxn2OgShHvY/ar6CkEOy4Q12hpyU2CeLEMkDj+5MC69KHv0oVNSRAD3Xbbm
RwFffB12RGISmVawAgMDiCTcx0LR9rtAAHqyiMraGpo4AMRz5ehAoCWsovGCm8e6E0hyzgQX1Na+
pAcyGMB9PdC3fZce6kCbLKGRsWs1ANtWuUGALl5s2YiFoonfjqL0BxUcJsulItzX5YYZLnznLH5H
9IpeQXXOodVWMMGk+2KGB1ynOSsCoWKoDh/IxYeraY230tDUg1U+IHdci9zPNj1y1LWhcQlqNK5e
luJGW+oIC8Vs050ugOLUNjHz0EthG5jwlKj0W6RXYpvLWqBTNpryk9EY1ZaggXCXkfdJd/0eisa6
DrXXnx0nvupx3mM4tfJbTX2sN0ouUaOrviSJ8pYk6j5ViuI3ptICHJ1dZ4SfBxjrFchQUVSdoTyv
q5KEUotWxim0o1ebKz2rE7KY6ppwdcLBF60bNyfbW9Z+XpGoB0E0rx+IDwSC34mw4ITBjt9ytWS6
4y3a0rIPIjZQSjiVfkhCyZswOntTS8FDoSgkXCT8xdW2ODuScS0xcXqNIN0TMopQUuSnwAyzJ18F
Wl/kAcIh3d/3EWU2deT6o3hoSCnk0PVw420h7N+hzF3yoLBG2p2xtPUO0glvCrXAipTkoSENEs7R
SmOOMPhpsMcnKw8eExL0GGwQDqAjmY/nv3BpuDJ2EqmVqBb1xfmGY2+pSzCLOBFsoacL2PWEBkWM
5XpRYzcyAgfffM134SCmjQwzMvHm3fmk0YcNKQ/zn7qqPASy0MelnHaliT/p+/7fj/X3Vt+PMt9g
vmmAfI8C3XSvf57l76PMJwmg00ZSSHkV37vfj/39NPPLmO/wz3N9785n1fm/mV8ypWwe5/vVz//d
P/f459n//s/f/+PfV0PiMM7Vv6/+/9z/v/89gSfAB4hS+Odt+X6K6Sa6Vrf/vnf/vCvzjf597+Zn
/+dR5mefb+VLLmTfn8A//+/3Tecb/HPW7ol0g5B+CYuk3imA1ldolMllJk730MCIRohivsdDRhZv
HMv/HIowwb1udlcxlM6TkM2lKfDDEG+dX7pwRAXZufm9UmUyefXLlb4JGcM3aWgxz4ti41UZjee6
xrKzBgKavI/6vclM84/Q7GevyqABDuEOlQFFOLdsaLJa/c4WAKZs2vPOyur1K77aJXrp9GnU5MCi
R8RwJxT3yZaJ5IqoWz9y/2jJ9HVwS0niHUqdLrTbS+b/goNQnKNIS9d2HiboLTkEvq4vbSevN1Hi
ZC96RWRXbej3ZDpKChN4mENAiwvfdone1lojFyO0ncpRcmpwJZ8Szaq3Acv1Wl84tW7/IpnTFRrV
kkobd5oA7DL/B5APkrXVkYKge9CbcqrIa02aEfNWZLxeGDrnSWnQe/FrrZlHyrrmDcCCMR9VA+tV
avMf/WBEr30YfAShEV4IfQ1fKQpDJGOxd5wPk7aOV6YWbJtYjC8+sw98vm9h0FdPDAI7I276N/wj
4YGAj5NiwSxNp2Bh0waTLITPCBol5kNiNsXDCUpq/mvW3fuaMPixN1UETJjqbgYsxlWiq9TuqqTa
B/AhWICXzPgJsF0UJja6coIEBD2+pc6NX5NUPEfTkgP61iskMmsnvcE5u+gAlkgTNC6hRrmPvULe
wPgw8uvaGuK0Ti8Y8dsqdKCgKR4tii7XPqSW0qIw2mhvkoOySbzUp9llgCXrSV+aFTvM3IM9OjxI
TOfeheNPwbOgOxcbd99yYPD6DgHoHZU7tYtOIoZcRPUw3kvHsVaNDXsf7tpIlBVUNrox6pA1e9NT
0aBr9bjtmLczFfNIVDUoeuJy0k6Dzlo7quGVlkmpnoNsVBEHGrs+GgC9gSASUkYHd2ieyQNGxzvy
KVSkYIF57stTm0efftqH14BkqJVfubeWGfmOEBiUxHWdnQyvPoZhCdw1is1b7xjGDfNed4wrf9eP
QnwVfRfszJg8mjzIlYNiplPaA709NCzq1bOq7NkXEQtOI1g5WaEcnXK6OGFrPDadmT31PSWjvKSS
lI7KUSXq5T5Nf29u9TpMB3ENsG8IVXet2phNqNSo+2TUgwfBZb8axwW7j3Dv0VufbWD3r6xH6eVX
yYX3PHwodTscdVFEy/kupZ2EW0PxlfX81yB1jaU0hoy8Uh6wcrV3MyPfZggadZ81jTj7g12eyXVX
lgT1QQ2eD5GbHgI/R4rdOXxT80dGCZzsWJesHjsuyuNEHnq269Le90hYFu4fP5TRkbDOchcMlE0z
Na5PfTRaoLmS9CtXK9hWUmV9kJNdPsbZDcVNdqs12902Q8OEBQx5p2TxryYLXqIsrd8S0avMfhoU
iMJqt6SgvCENcaaQDn7SHigU5FQmLduyP6N/6s4qwqVVbvEEhQy3XoYM3GfivOHxk11tyA+jsOpr
PfkjsePVOFdADY0bu+WtVPhxXkYfnnDgKZhMgFDf1AQtBeqH57gCw2aIKFpVYcl3CYWAkpK67hjR
Ks2L4KyDZcL800f7kskEYlQO542Ww27RSkNuMtbEKGKyayVdAwlJtJh6i89jTeaWSilgFazz0tTj
hWCtrxEpTEIIwJ9IOrCDrbHapI5vsBrS3INCSLg1cW4q1yZjTEnLpYsk8idALdUKtHOVOkyUa4cp
3YDrOHLzYm23rrON8DmtzBhtuTQc781h4bMYEw8fA29jaokDFVdn3eq1/6649aYipuJnwEC/EFFb
37B5hUfsTotGcG0mbid4DUHTH8a6AckHh4VUDuWpDyx54UL0EiMlfgHD1z7X7rsi+93YlAFq6ay+
YxSlP+BRXpmOqlJaN4PPoXftcyqVHfk02t2tbPWew0E8plr9NYDOILpPMcm+5TKyUOlqE5bqEmVd
RGd+9QBZ0vDZEl74nAsR7IpQkkRuB/XdtKaPeciKLZ0ORApm+VEUpDtI2rrPY8Bsd+yGz6pWTnIc
LfyrLMcxlvZbmfvknI5NeCY9fB2MjvgV5GXGwrHSn2O1VIHXkfnnpy7KMc8nO24yH430He6g1vgg
y6TfgQkfr5rv/BloyO2I2ig3Tlqah2boyQAqPCiDOElJ17RfKCzBYK7GdOHSargpyVkUinfvIsN+
Sgbhb2oDd8p8WCiN8+QG7UFV4v4yn7KrHqlClNgLK4gdShPci8Ty3zinu6PT/Eb9ZR2NMHiAP6qf
vzchrtoYtHIqyC01C/VDryqF1aUkEUlB88R1q1uwcKRKFyxQwLhvUS4qQpRj56qpOjOKjOB1MoF6
LAY+xELfOkIKso7RpAgqB9/fWKP8oQ8OKXBuSCk/zFgX15M57q9DLivzp0LP6dj87/NUgIoNbcEf
XMxD+qZuUBBbWhbHnjLWSgiwnAMxmOgt2NiQYL/3dLoIG6skPrGLziY4RNR0tNfjaSO1OD7+97xT
hAc/ScyzUgfF3YxuLnzqJ/RyxZNTGhFeMTJp/bCrQfLjzfXMRjmFkCoYpaPmasPZtDBDYOSlJeoG
zXI2M5ZUqL5PsTbjS9abm6xkUmSbiO3nC7OMCJrzxgzSnNJGMPOr8jqa6iJEXnK380YEhFZAb+PL
e3WnW4B2PykO6PBwEoy4At5hit0KvpPVXVjnLXAgAOdRGbqx0bObaLC+J0ic4anDyZ60EC0EVvqe
fDmX0PgL6hCEem2yyOxPN7LIy+M4bea9esrznveCQVXWlVn8tvoWRBjOnZIBwEUzJaRCc1Oy5qZD
uJ3f5e8h0c1Y2s4nv4/nP/09Cf/sAV+nKK5uaBMvXZbDu05yzEgwudFWV12v/JfGQrJnuVaxaxLi
Fs2a9VLoTDDpaWMqyX/2iLDTjmj5FvP5JDT7PT6bc27n6o0gAPUWpuGjKQrz4LgVVB2Gaizbdgwf
f7rJvAmFJFy+2DiaRUbvUAw/vN7c+uiDAjyH3tITTfGLDAnaKviN3toMdaDtiZXrq2RJIRR/iaWW
w2WT/aabDkXlquihK5Tb0yGt3GTpa5LxGyJsrVT2y9jo44t3UeHhooRD9JHHTb3JMOrv0gkSy1RW
vc4bqxrVa95QRUppG7E8jYl85CuxcA2JWlJR6uO8x7AkD3kHFqyPz/r0/sx7VXXMU5o2beLEZ9cG
Q7+Yz8/HDPso4ZzfuCnFLlaG6AUxY7r3E4r3sV7FLzXj7p1SPjImJXrRu04gMMcxlzVyoUwxMBCZ
0rtFs+eejQ7YWPhR27/nUFXHqwIL0IZGNQI6dYpPBGfkrua7OLFPuKQGJGS+rlFpwABvlIjUmEOu
WhPsbVNDECvCsSe5Tdt5lpKjzCnlV2HZzGYSVICL0fbIBjWJTjeluu1EUOwzQM5MPMqyZoLOru86
7DKdSzf8lxOdRDVOVmgEzG0o5ARQQVbzuUwVxmneC6mOkWI/rCI5tmsEKbR621xelKC9zsUpJLbW
cxxHL3VMOd5qAHT23Vg8iPDat703oMa1fmhqRNCFpkypHnq6+p5xl6g3DvTu1kaEJLY01DcHgdI5
cwlpzZpEe6sgK+xp6yZ8DXQ+6DhM9lBG+zcCo6n+WZY4iSDu3wAbPCfDYG1p0DHyJEF4iAoN9kiB
TTop4BWYjXZQXH/4JIJgD3J8fO0M5oJxrn2BgG6fkYTcTIASH2UMuxuQmNwDakwPpCtMSSekhQR+
+6MLJE3eKdAKs5U8CGCZxI+5W0ksJwN2Hb3V2XhhWNceZmd8JVFyywJajlXTtpcqTzoCQqz20plc
EKiQLQ3vmBZjf6JY25/ygUbUYj6Op5M+IOuNHmUkjRLCS7WteTYsabxOR/wY5bPuBf8cBSjzSZDm
n6oqRnIu39esrPxn1URYMwC12jZerDz3vXQPxLsThyvi4SL0ho+TPpXq8P2yulJ8MDOnnCzXWgV2
fghUFkrTBqGKcwlpxnZZaG90WysPFsDiY4D1ZGV2jfZRT2OX7Sb30aUphNB9uPmj1d/i2MDla2kW
XL4holLvQ8PW0JzSpmJVy2ekrmiWPMqkEh+1ZJ6ZauYH17v6EhXFA7XI5OPX/Xtj0jXohLJq4VTy
q67d8zAG3veeRpV9qLUKD3Wn4uYRxUf7x49y5V0tUPB7rtApRpvFR9ACLsuCKLyFlE2ZVZVf83n6
fsW6G1GDzId9cCbUNiMxwkNLnk2Q+unekTEU6Ju55KVRTKpDGjzm50JNjBASJ8OOUMHyQ0OuoDIN
fJB2gegp8+LVfDMiSEH0maaDnNmTT0jKn+aHdVwIsbwwsUumZ1GRKA6JNKArZe3R0jJiM6fz5Thy
QTGyErMyOsc4ba7zedZxxSarEm87H+oDUTleHLyZHWRF5vEMLNOrqpUAKjNj65mIFvM5dMvT/KrC
WGOaF4uOPGbeNz8jq73Oy1c8bB25LgVJTtOzt0jCWSMM6bmLsYb0XrOfH5aknYmcqMXfdw9SZcfc
a3wh+Do8t4MTf794vYQ+VFnueHJaJ3ltwXjOd89Lv94KqzY284uPKvXIiOo9l2oxntXEYP00PTu9
gn5ZYani5xQwZUB9p6bWaVTj/LMTGAQjGgh7kWXem1fc6gn2icPrs/SraDG/b8X0/uTT+zBaw6o2
/eiNCEb3WFUmLHfWkmSBxj5DHILQLhbe2s4Q04RdWF0dVQdHQhHhs9F6AhCssr+UFDYDvgJGKG/I
PNV7HFXvPRHyhB2YA7MWMLXSAZZZFwWN6n0lNUGiV65vXb9TNvOhNnz6kTDfyxw1T1ijikx97lFR
xXgHbdeo6U8PoeMN9G5413Vm5ppocZQHUBanpIy4DqNTjVr+qYizHzQ3/M+xRk1caoifmp746JHs
gjuhwh8MCM6H5SAWp9WtolbI+7e0s5GOh2Bb0tTewFAct+XUKSeDj76g+GnTXHon/0JQrsggIA+J
8lFzVQ2jMnshdW+pW2hgiGMG9YLwr4iy/hEZZGJmr0Nkp89NqC6VWHV2fpNi1TUjhLSB8dtxAIpi
e2mWo0GokdsHlAWj0l7NH5jaFtcgtd6U1uzg31vaEaobK0JkM58aP7dYa/SnBOLwSZPhiPeFTyVK
CZkHFA6CNpi++rV9S2NSEkEzFHX500OQpdbdPooj68lE20yJQM9Xde55n7EdnsGgha9T/jNsdZ/s
pHAs1yyEQq4NCq4eGnC5otOpqH2LCJjR+GQNTzTjFyBFJjoTr6gtEmuJ/j95WCo064xVfp0gttfJ
pjniAy+eh0Z70I1Kv6QPTEMDPX0ZEI1pumac1RbJlBtp5Vcwmn/cOIueIohDzO3rinR2zkMGpwzP
gDCAFFrLIX3SyGzcRIUlP3HxdpaP4XYIkwO8jYrgpZBGTtgrjxI4NB+r8ekmCi3FHGRENJDvp+Wt
9aYTPa4HOTNAWWPtqycVHmlkeaJe9UA1z2pEPIbjqs2XEPGtw6PzQnT3muRpdWuPHpXFooahuIH4
Un81mhNsUmGTjTe6vzUjwonRE6ZoeaRtxE3efMZecrfr5oD3RV/Djyux7gwl9Y8i3xgqVlbFjNUv
SYys5qXJW6nHB64GwyoJ8PHUWFWMPCyvQV29FaFzy+NuWYWd8VCwnC7VxiZ3U+DdsiE99mWSrV3w
hivsOe1nYrWvNKTNJ0l7AuDxUTD8o0Twinsi+LGLU9844Y+A3jeEfSM6Aqzv72nQwaKHdruMTQai
qtaIvsrT/m51VHMMAxnBev5sYLMezKpmURYkqJNawKpNH57K3qRpo3XlU6V6EUEHIvqhNXD+SxKd
n1RfR5duglMyXRLNYcZ/wX3XCDH6UXKrVZNY47GKKuXWIvBbGNMf9E59yzXrqjmNfaGdTYsurvSN
b/biJatq2K7mumcV80NpQjJ3wjq70nlpTt6ASC0le3sVYf44MoDg2flRCK5pEDOwFnaZfsHngv+o
t5wfPd8ZyJDBZ80jr8nfUKJ2PLgkXtyiOLEW4FmDn2kqd4QWpO818PfNMBg+JIwUWYsCTqPhFrh4
w+rQ4FAItIZF4+AYB77O4pYmw5up2fJhFb+0VHG2+aS7H+hFv1ehiX6g6lqu68WnLUz3kjCOl7FR
U6jjOlwLLcI0CYu4jvxqKZlrH/ELyXcgxYw9nbOTvrSPCILkMtST7r0cmaUbmeMeCGts3zv/XNZS
PjRQ8QD223PdRo9Y7fSLpRrgrnzForHP6NQVXbY1EVrC7PS/HKEPN/py7j1sq+eB/uS7ZQ7eBgUl
q2ume/iZG7mmq//UDbirmOzmt0AJfs/tjUBCBDBDuND8/gnizjRz17neoXe97BkRHdO5PiDuUIl+
WoZTvbumAywLSPxWRIy/QWK8C101eQFa89S01mU+XRA7gCGaSMJhtBAL8N9lGskVtV2l19jt/ecR
DXWEMfw9bjC/toJABMpd2b3q5Jtj5c2iUJPqMiS6SrSdTgCGMbwLr3J35ATh8ptWo0S/An0sq/Zi
6jBogjjyl8Ygt9NLfM9EP+x0E01XFGzzviFRJYn+OJVW3pBkNfdBag97GvPLuaHj4JDq9BCP+iTm
RSa4lpmqvVq5jsJrhI0/8UsvGi8FpD1irlQNJLICY7xZiYkPPn0iiNV+xZm11xOfNIjkQQQAzHOK
AtR/xwNOfSRCmRvTxXXJRXajEvojAIma0FHEZdMxmgt2v0/Mf1MzGW0QhL12IWtAbA7/bv6e0xO5
QV0F4TjRwL+3hP8S95seCbM4APsQ21TRCsJj2IAf/c8GLRBAzr/Hrk6dbD3fCOpMtDZaDUfMf29u
DyBL/x7Oe/ONU0nqWk1eCILumpksm47Z4ffe/3c4n4OxfDd0fN7zS/u7mZ9mPoQkyuv7+7RadC8F
7s1+iFBkJSNMnmzauIMVHPJ0NZ+ppt51XMAt/HtIEWVcE33x1SY+YyxAW5NSMC8YSXX27yMxntsk
hiRksk663XwiopbTZt6bz82bRAGI+vfw7+3+v7t5ZrIrGWh20oZm65oq8ac2YMSUSHIV5H2THrRz
n9rhUc368Kip7SdgGHfthMJNFwqpHgdv2jTTN2Dey5Ji7+hdsIz63sH8iUuUARE7aVw8mpiyeFxK
knX0GN6KZhraRLDSD/Pe341dptVE1SNKTTED7FLZk5KkyiGxSFzJWUEsKoZI4inSVZW0gQb9I1pE
VeruI10Ljy7eIFIB01/RxDhl9MwPuq5E+a7R9HfkRNoGWJe1RMFBVF0R1AibK7VampUttnbrENGh
jxMNXKN6OYGjDddOrs1owFLQulsgmvHIZHRE3hb9qkjXW6GHIdpUlPIceA1awsSpdwH6qpeuxm4j
ucJ9H5a4UHcUFgxkoogsbCM9IHyi/GkYytb2o4zwDixNFEiNe1NWxIAXkbmfD8s4eaDMqDb6VPFv
Uv82Di+IPp0r6gjvlqUtOe1e5ixCE8FLqww8oI1rfQNTTGeF/6fOfQtlWGnfLNkwYUirZqP5UQk4
LPLe6pQgNIGAFn2rMq1zlFUg0L50dNUQjQQvbiKHU1xZVILw0qv5ASw/kW+wXZZBZF2wUXm80FXk
9eF6bKBjBFX8WZqP0QhV+KVALpJOedJQ1+0UpXvKDfJG8tJ42OFHW1X7mjT2MUk2sZP428Ht/I3o
qz81VxKJU4O8v+oPCrpUWcbaAEG3Jm560ue3rhZgK4rFahw2WgJTnY7JW9RMzsmJSRfXvbqo4km6
bprxqSWr2uhj85xTBSPv1r7kuE7KASQT/UScIFYstxozmlUal8YyrIJ8n4/aC6/HOCCpMQ+ez68D
fmPhtyjLseSy9UCzMc2yPJIBK57PhmDH6MsG0AQJapM72Z4eYX4YZ761K3+hZssXQReRwFNMNGpy
nr3OeY1q8WYhYToMGMavEijDwgxH92IjOFyakVWvaRcXjGJgXjXk+oSHs1xCTwzwrEGv6DQlrf6K
Wk7Am0COEIAjPlKjQdkbOGG6mvG7UOFou9pEJtgNEJmUcBRiZRMHP9LElDHUm05YI0na+l7JBJpk
cs6IH8KYBvxeR5FBfyfp/WZdRWCj9PxoY8JeD2JLz2WRuniBpZc0u6zEZRJHU/gr2CmQ69UulioI
hAka9nfTQGA7eHmGiItPV0wI1VbsqIfWZ8p4Gnx3NKmtAvAyzmOca71xgEVFnB9IcM8KIaTbd6/J
QaXQP5n6xtFqJtzxO0wOVXP3qdevlUmanuUX5BnmpF9hgxEGP15xi1Pd2ihm9AZDZcKWoV8SbrZP
nGQ4F4Gj4mWqwNST4nhxy0DeR+hs9zqGW9zK4TIfGSSlnLLO2FM5QnMwbRDiJ6dquI0FfQXT61Ho
Bb+laeR3ZNsU2BwM9Im2/m1RBWphMu5jvcVEpZhiJ0YUb2AWl+jFsQWnlrdkVe1tBpcvlNtZ1cr0
S4wegqqOVbVb28nqfTVJ3Ae7d47z3t9N6UcvHaVAlHjOmRogktTe6m4+R7jPzVXlgPIfGvel0BxA
Wk568SwKF4yx1dair4dIQq1XWo9oC7N2cAgNpHqlq/xMCo80HqRuNpQFVfo//WyReC9NJbz3YpDm
No7jrVEUSK+txn3HK/esFUjOcD60lwgiGdE67UZ0Huz7sEcCjF2g2VaTeljJMSWoEglqHkM4kqiw
qCgCrGJMj7lIKfAeGhoc+fhJOYCaPNW/fdj5x0IAkrKq8oV0TIySHtXAko8xY1KIhwO5Rdk0n61f
uNs+TT6VKqYL0wuazVxzNRxf/NveCU3ylxkVESFSvssspQU0YLsHO8LD06MWXvIVLfYJFN6FSLFS
ZJJA4wGJrQ44FzVLfRry7gnFsvOskDASYxpA8Kwq1GaVcTEWDSULhXEaZadKWqqD0BA1XGJzekrj
ZLq8EPK3RDOoRTZL6xwzMeyFrYxYAFOpxRvCYA11IiMiREzkk5ZRmwBbZIVSrGWCWLGk/+vF04K1
YSY6fxmdyoQpJAUERR0A0CiCJ6qYAy1uWZEFqYdXHY94kqOvCAPePi3PXkXPxduZJD7WSmaJpI7U
33Fu9qZjn6kEZcushhLXKkGEzdzql5YZuLs6Ozt0lt9CRf7U6KsdfY7NV+QrvNZkQyXSWQqfwayS
SrOQ2L4ORkOeWaATqAOsR6FtkismSwqjwsQ6bRqEQTBtb0Wjo3BJqhrTqLn0MiQtTdcWezqzDNkJ
eZO4D5/5rYJLSCkOmKpm3bTAfnieaR2UWli3rNf+tAgLUKCbzYHcFHry5q7KShxY0a9O5PkydrKH
LbpqZw23DPYOCEjMm6gn+ZnSj1mE8EsOpc4MQqq3tCzlkuEQMU6j/Yjaodo6GJ9WZDmm66Iq4ld7
9CGeaZRZgOgQ36oZ5UnD50lx0d1jK2ko1A3BwVGRf6iaIpZDjUJCa3tcuea+y3BM6NrToBB73TTV
pS+E9gSJDiy9mfxJ4ruGVaonEmfb2MpFy74EXe/XWKbDnkRmOk2a0m0TTaVOLVsbzSOb3GwIjhLH
wg/1fV2F9bFM9GGJWOJHibN2TzySsW5ysMXEBi7UilmzSKQ8WjWmZkuJF/WE+haybJapQf6nUeQe
9XYPtJhlf4UWOE4/SFH+5BoxAyCVjVjucFYThAvRbJFQKFjEg6QFhjJyn1XlljCHpWTRSMuh2Cnl
0J4gmvt0kYZbavfyBKK+OfWGRkRTPDlNa0eeHH6JuC3sV9kKcbdDpbybpIqmZdKulU4Vy1Hqj8St
yNNphuA0mhg5jYqWK98DuPt01XZBbqwJEFkrwSS1TPXnom8x4JAXvEitXqWaQdCDX+invPJrGtHE
ZzUKyIK07MKDo/8aihDwnYX43y/IouoTtecq0D5am3wQnPyHYLKc/N3EbjlWi/l48JySvBQskeP4
kkdvfkdIqlHTnsug0OBbFSQRDR2Mg+SMuMO7je29RCV1hilyc0uiYCqQ5KtW8AmNvdFsmFIAZpT0
EugluYSgbHrmzUNmaYe0Dd1nl7lroeCMjuou3ujGa9q2KJjbzt2XzDhBqToKX+IU76F6USqnWqFq
RzbsmG98OgFpsYQC8rMbR/RF6FGOlhpa68AHtyvA4qiYpLeFEbw2ddEfhkH708G+2swuwcQHBKdF
brxQ6mmYBUK3yLzPqomXtZkz1Y+wRWU0RpcqmjymvtV+cpR2kf3LZXaE4DzWlqlVPGt1TPTcyPLd
Ez/iyXtpYjYlhLGl5tmeKsMvTqYtHinqVzwj6ama2h1dErln12MxGtbJuFAJkVm5NeqcHtmLGXnJ
h2dT+qtJX16DWy4eQql30JWWmZz4POGAi30ygX3vGfU9h7G10NKhfQwi/unUTXvNKcW/jeV1PovO
a4eZD3ebkRBCoSaopvyafjqL0FUIjDAdB/s8Q45yXfW2zf8wdh5LkiNZlv2VktyjB1yBEaleGOdm
TsJJbCDhHp4gCqrg+Po5sMiqrExpaZkNxFiEu5vBoE/fu/fcxpqYb0TT6ZdWqWza8IE/KKDZWmPm
De386iqVLppCsKo2eMa7MdXPienoZ048nXkBd72cy2RVvAwDSIPE0cUq8yJE7XHspEdZVbgP4uE6
qLd86s3bWKfgmeDLgwIZP2y/IdZzfuj+pOOBipNJ4q5s+i0XJ+nO5VA3S2MIzBVqtfGIxqSJZfaJ
FjNcQZHkSym6ftU6ZvKIVi09DyODu1Zaa89qS0C2nbvUrbyAtZb+5y1WPrLbXA0XSYvQZwydGlyk
GHZcltoj9ApHnoEjOfWGOtPfKLKyHydcLFfHqGDwdQVhqlaO3lVTG7v62RsdSTXJWL2rwPjUutzb
xmNErLjAFFYpRBGp1puHvg7dpwFUxtoj8b1IVXXMK9REzVi67zEKeFqowDmq9JSx4yJVVUyoEnPy
jGK+TLcxZsKRJlQZpJrr8DH3IEDUrDGn8tdKa823AaoPbptF1gzBJa84oSi5j6nIgkto6ScArM5+
GDxciZmW9eyAJkog1T4Vev5G+zR7dQywex5JeJze/URTgOzvtujJFGaGtjEHydU5RwDBum19yzW4
aBjmswem3/MbgQBdaMU3kBjlDSlxRMNYZ4TT1vaK0iHYq0DX3ohBs8r21WZd/8YmEaRiaqtbyjZ3
Twt0WFnJoO2wf8Hi8vKrN/X5g49mC5WMP5TvEeMOI2q0Y8dGb802QbwYtfN8p4rYJTgfqXffSMVi
8ko1lJKsbNZH1aI4uN+qWTqPNucjvjcG01j3vaI76n1ZIgdz7E1vhS6ZSLE6Olm1Dl2mBILCBNBi
/MY4xdqHIx1QZQ/uo2nmH21QWa+RSZxvVHe4zue7NZizLjHiXa9T87CtBH0myWK2W/mggSR9Ggkk
XVkTviU2vC4Zz6jzCh03cj6e/Ck2zyASlZMYNy11jVvnRi9Dl/iH+0O61hq3ofdIUVNpDLBBfxO4
+W7INZ3VjOw59F0Xf7M18LmOHHFT1uXu/qRLXvhBc+L4W6pbxz5lqNHcddd5m7zad4V1q4wvcNXt
zpnLr5o3BD+ABr6t8yUDDg60n9Nft+53J2rCSFooakil7m0ru2VN35H5becb5v7aS2jZV8Tf2oZB
vH8siiXgFCQpqLjz6xiUJthC3TuZReSdIBH/cWghYJBQLg8eTJNVxqiByRFSIvbR4F6SExBd79Rh
3kAljSJv1Ys23Pj65O+k2wbogrv4zaAxRpfGUpvOHh6LUBLuPtitfooMXDRytNwtqQa4Sic93oVy
3v1RcwWaLC6xGb9TaHECZR5JXrY5MF3hzEozgNJOKvWXSRuetGiBHAre6p+cl6QYSOwhM+IOh7zz
1NKReHSnDG+xnm1hOae3snSyoxai44OTt9CK2Zwy36Jb4q3yKAFWKv1sX1lx9AT1/fdI2bh0oyuc
bXF2Zi1WZONvwxq8v39K+awz8ZS9/eMjjIvV/XvCILNk+sRerUzN4hJ01WtR5dHhju0Jayzz6BG9
zR3lE3ubWBvdCxjQ+ioC2qqlNxwbXr6gwS/39xeNwKUOBsVNQnwLvjoK30vd+TgusojiCPZGSTj6
MFZHfz7YXUnuVy+3trSN41RH5rFJAZwQYP7pDJOgQk6j4zTmL5gaxe3+EIlu66z3shtD3/I86dm3
NoBPK7iwUwDE1aZRFayPsk63rVGgYraN+KAQJRZjwpa2tLV1K2zkda1F7pLC0XPMvTXDyemCGGkO
mfmyUFs8gewcVuHI98cdwb3qafN4P1j9a2s8/PoQUjIu2j7eI0krt3GDyVUPxZtJvf1Jsscz2ybv
W5nHPnU6zcIJngPyW+up65IfQCfVB5fLbBF7gXxMupislxBTlUoc+/sYvEMsqSFfsqt2y3g4odRU
mzhIk40bWUtIrfG1Kur6gZBbRYXJkNMsEpZi7tV+t5/Ik9jXdUps9uwGiGNNnEpyXX7dRcDvne7P
gvUxv93v3p8tRP2kD12BcEc+WkUVv6X+aNAUrOKLO6T6oUz5a+q2Tp78d1LmcDZltXlrSnZXcGQI
82RBeDCYVy7DQh8+Tf+9sohG1QTY49ZP6+NY6z6ciBwXXTcpouxlwPddz1/0NBy3fE9QD87PhhXI
+NyfbiPNVBofNGmCpj/joqZ9QRuPqTdBi8VsqGhmQ8WoI3CvUWh6ych0qguivaZru/vr76+6H4jU
hbpTTke9FIgKx9o+OGb84AWteQ3mg59I88oXjsWYmjsUOamdo9aBX5yYO4ywM1UAdc72RpPGhd7S
RqfJfL/1H4cZEeDEpktg6L+f/vt9vctZef58/v7PJYoB84g1MSuWvYpz3sUJvE4wXHtq+ZUwkujQ
m0bwOjG+tlU7PZGbYdx0pl6wOoJXZ+vvA6aBSFFr6q/RTw6xEiFIW6altus37Lsj60214KkGR/lH
CiXCRGOyhB0nD052nshLPvLs/fqQIkBe08PrnskOJdza0YMdM9t4Q5qM3FsdxsEktN6p+1vKK7g0
zFBoXWqWva7GnLl1aU3Pg0lXPhyS9qvwn92pfqqkazNDz9RtagZ10xznG7Zm83C/dz9ksk+3RXCs
fTvcGVaabXoaXu9RFB+jLHKe1LhNFd+7hK3oThJjBQJgZt4QygiylFTv+wXMw6PTBZb1KH2Eh4mJ
HfhXCEghsQEzFSdgtRU/Le11sMdtPt8mwpd+spsgozFpLVqKnnQj6TSC2X+UXvK9cwJCIUN4+7KT
J6cEk91l4GHxEpLkEZbXPiMTFq3aBX01DfaiJN0y7RiVVX30WgTvNQCYr9DVfup1V7428gLBfxna
xcOfpKjErO0dpFl9b1os/sjT4YiMpkmoseXtBSIZ5LNVvGmJiCXm7QGfVPLSKT3dClNoOw+vjYqs
9hiMk36qc/F4/yxHz4+2TuVbeysu+CPQMHzrNP/ZiYrxlVyLZg00dDp6o+9fKoZMeAFpwscgetBq
7XPp1BgLqVQjs9WWsom+1KS5x9RvWHEEIZnsL1tLPcjCmoPrufgzVDtqQ+yTYFmKlTXeV+70NeBk
2fZNO1zxsfKHKTjm5kBFOXSeeaR1bB6NTFq7scP7rfH7vnrs1dvOzZ8DszNudiFfTMsEQoJxbfXH
JbuYoL0zO8w1ROYN2/3nHGcSkFR2SU3d4uhy1Fed2+oBIQ34OxpNGwkZoEC53BzTOEenatvjGwPC
tRKa96zTjFiWZthvI8PJbnKuNL2PQoza9f4AQul03fvJJyP16ISxIDqJ+eAiFV9UXWZdweSQZ8g1
+qktk/ex1DBlw3DdZy5AOr+CGumDfc+lp18kBBE68ZHSzOXA3muja7Za2E7Gh6mW+WDygRjTljhq
fyee2pZLpPY9zzP7atKJQrqNkApnRvFSk8sBQS/ciECrFiIlvi43HoVHigvEz9QJTswZITPac0Bm
5D3kHX8FGVhIHdDd7fRXZv0OYCWEdyJ+0ppwo0DK3opoO07SfGzhb6+SCsuoEj62lKky1nJ0yMaa
EDRGcPs6aJybXiU09JEzLRKHOooO2aKvK0b5Q4TpPC4+LBV/9aSDH8JSfHq1PE6Fj35jmvpNj0X9
NXS3umfSPVHMNKhxl35S6SwQQttQ+4h12Wby2sTaT2HERP9W8TmxgeZO0aceKPOlCIab3VbfbCMb
n4s61fZVXX2U4Cv3MrGGIx3bZKkrVIWGaPT1VCKi8bLWBH8rEzaZ9AEmXQ9+BMwKVbSNC6275W1U
h8sG/4Zv9OrMlEbt2oGexhBl4yVo+/EC9ke5AYllm6xJi+P9EDPBc9x1+eYZqXkY0p79m0T4dL7n
lVTEsJMlKI1Vqfnt1qJhDjXOekq0ZnilzRKuEexBLCYNbF8aer2JGjNflsBZrnoHPvd+cETxuzLH
dpMXWXDwaMj/OvhhEq0M9EpMp+LoTELNGkMH4UjCDs9yPtxv/Xm4v4xMxXUAdujXyyogSQTTov74
9WIN6f2WeNZPU4u0Y1V0wbGxO9rzdwKqU1auWtyf+nWTQmKVGU2wvz92f83937AZ0Qi7EhMyGIat
9xFrbl4FOYyLNq92jlHo0UXiyTh17jCdMg1BgfSOYtb6S3oOkHJoc+QZmDvNJUKC3e0iH+m8LBOJ
odLqTYRTHepu38d7GbhuykDS8dcxeyx4Ftra0SkZyB5dlFmgXxU4YJRBRbdtZo250j4ZtGjHqeq2
cdelh9KCae15xv7+dDsLzn/dYrpzVqLVj4PeL/Qi2LV25nbkhjcbcxvmubhmjR5cY9VbnA9iN0Y5
ggvqQ7UKrSReQpYiKJvRL/quGyBCIB8IDM/SH4aDzewkGuxL46IT6DDnAcwJRVJeovQgBmgzhNdi
qEEysSonPTpB8HuU89/sUrdTz9dstUNxKCvQyyl9Q3JqVXJNSNHbVF11tKrmhWtBfusSamn3KTfY
KWWFAo0xqcPUcvVPXXO6ZEWkX37d8vxp7YweUaMpmJHAsMGuCzTBsniqDdBM0mXk17HVO9iiRhw0
37I88eBWxjUIR2Kshw7JCaOgLoZQwK78IJplGEIL8tsmO3l5zyLj10DisGKCtFAJGFGv+yBI4jiT
eK5BbBUPYVAfhxl4OCZfg4T9YQGgeMp9ajnksXBVGPQ/ZTDbH1tLg4g2ELSrK+/FybPhXBGjd9YT
zzt67AJFj9IyKSPI0QpNp2XpzcrULHEOwVUgGy6HW6MFEoBU6S/DwfffLJqkQ2rR2Eud/GjKyX9R
g4cQgBykYvAPZgFvCnv4rpQVc7ws6+Q5NvnVw/ng08iB11A5v8iY963U/QkGPVRg8xP3x9oBIT3N
ypNLStQ5I4uw1XA0CvbppxhN/el+637oBksgxiadIOg6/VkZ4mglibfyOtyDeYCc5X5I/30rdOAC
lm20F7PNYpptFtUUjsgFdI022EzbjjsIRpFP0CHTzTwRBFERWfhq6O0KhdgWd+eiHTC5dTI7xp0+
4iP+V0zD4DXBUiH32QiU6QRpWdGukQQAlsMQbkuveJ2avgC7nstLV9fRGleytnAmUpFLq8tvRPx5
mqf2MfC/fuF2eJQg7GcY5thr9OB1fiBVgR9RBF9OJW+Ow8iN7Hdr5dLpPcvKi88UL0NkGFczMKwj
ux9cMaTtwJ4pF0afRp+mnUxL3wrUxfI/Q0Ws16TKDFnU/ZhHF9N4vP8uwVjkV1Ei3WTxvx86DNdr
HY3rKpqqJ6iy6qdf2Q9WP0avIQa/tYyGJ/BK482hyd0jR3nQDEc8wO5dRSOTadK2abMBte1TRM2T
AwTIQyFhiMdU7x7vG+D7VripZzC8Xqere2uoFsY2nIHvYCRQambdM8FMhqyeeykAkdZ1B3kaoUdM
g+fg2d46qrX6fH8omB8fxPBeYO5aSlu2G4dqY5FEhn8hlmQ4DdF0MVtRrmr6Ph82zN3cXmgJ5GjQ
4NS/f94K/Z+xGJOXNJmepB5W3wfUiwzxqxJfPtV1HFfWLuFP3KDsJyQsViffQkuGDKM72k7LOCRE
FMEG4m2YAPoiAXwy5qFNQcN+SRJd82jnbOQct+pgMprf79vZYhq1m57vlYAXq9Ju/N7EoLl8JNZX
TU7D1VMMj//2hLRzax/bHQIOjWbsDOhKZsuB29YtDoVT7uKrnVT8E7Jaf84krTrvqRpnXGZi4RG3
zbUDkYVgE1NghB6nLe5dbYXeCTdD3gzPE5qRubmHBdDBxRQIZBbe79PQd1wgKu85s7ikdyK+2kPT
fyO+Sd8VCQpqQAmL1gnzNQPAdmXoVXVrFIawJm2WVtsmu7HXvNeG4VqaxSxn464BgnYb7bJ9JvW9
tPddaoLaGYUqIN2EtzAzOaN6spNO1jSIXaljj6kNUz81QoNr1tXndo71EXn1YyTKacsMsj7fH3dd
uq8aJlZiRk3vIdEMbYUtvF2PGFaSZUwpW6cw6Gpv5BuMs7ZYRHqt8dVuouMgsZT0bBwWsikeyYlg
BD9f40oaNPRCmon1gxV8ieeNBPqUJkDjDROM2xKnEzRr88BMn90AhpKxyc0zWSH4LFOsDRlzNCaE
FeSyqaouVSafM6Pm2iAJwrOoJk3plQ/0IDKcLCSG9b14ADKb71FNgwgNgpVRGOrJLDzM0m3a6Tt0
68PNEnCzEofAZRaxQ2hJa9sVtOyCOPX3Ee3lPTFRzSmAEE8iuZVdqzRq195YVI8T8ahLN6ObDYPG
XmRT3WyCwhg2xGA474VpH7h2bYMYvU+ipdMzcsJ8P1VTs2xbZ3yWZsTFsk6faoiAW+zwGaYWTz95
Gn16CyDOyYdztjB0Um+bUAg0qnnL4MQcNp3vodD0hwA5iznsekEVk0f4KyZ7KB4C4a3TaqywYvrN
BrEpdkqnNXYsjTbDNGUdG0+kt7CsqZA9963yTPKQZDYhFWrdNwi/z73QIP37NS4jzVhnbCheu9ab
VSEj5l9CbNhCRcxmORBQSP8sIQnAKqKnxi59qLXWuStmLtc8Pbgf2sjIWD3y+Fy20Mv81PK/ITG8
scXX8H6V9prEn8cxrpOjxQj76IZ4DQn7YMgwYT90qPfR6pfDockRZlI33IykBDlewIiK3Gyeyc5J
NhMMI2mirLBkvY9IA9sGUYaQsel0UB5avGTwnSssZgyqh7KHNJF1G01zqlXXxCbY+Y6r9XxFCK3U
2/DGPFLTN0ROxe0v+o1ZaY9TEWTbdNCKZ8Of1VDedqpwzvnDBJFd4bODJFhMm7pvv4+9UEfiSuhw
zbfuh9QBvSDMcHd/fEpmH6uzNNij4MZMG/90P0RWVJzCipNGyHemI8Cg2U/io2sv3uC/d25L2HEo
3ZfWIAxdr4dNJiQXmdKPL3E8xZdft4Y8uRRlfsC+vvN6LzwnGfK13PSqay7XUOzqXeCNZAAbjoXk
ldBscLYP93qIt+GjHkPt5LRZtit8B7WURObBZ+pQxg3jzScMqw1mbNy8OCvmhiuJCHmfNkb5Ln3I
SEST9Ne+wJFvcWlFvkAhFup8uxDE2Q78gsJ0H8LBdpk2VQx5apAYMW9NARFkrftQ4MogkJsmD+UR
DbXaNDRjn40CBajwMOmORHcobx1E2iJGYHbgwwIBNlnh2UtRTZa9c3QCX+6gYEMghhZ5bMyu3XGK
sZ0EF0/Su//gO/RApA0Ynx7UgGAc9mvo2vDaqpsCZERYq/EdPSSRVcAv91lmB3vGpi91FWdbAGrT
toubG2YE64KZHBq7XXXvVTdsahtELj6Ud0/S3SDBQdvQVMu+ZVO1D8jqqNgmvQPDbDejapDv8YOf
YxT+YO4LKJPdtGdmwcQvM8v3JCgfrewpcihFGp9ACb80DwjtmIkN1QWiP5xoUTHmo7lAHKBfXEjN
BQerlz91z5i3TXLZMhk4DrHTPfz6CVUC1NMVkzy5Jl2HhKIAaWjmYylssvNkUNCQzzZP20+2HiSM
aeYyJQBIuodwQRs8j8gxYBlZSM8dVmWJ5AZcJ3Zk3Q/R5gQ2Ta8qfRFMAVZ6hmxTYiNc2oLKneLo
w7iPSQPlDChHBr4VVthvGP6+/7pXQj+YP8GY4HQy8Ph/epxpXj+ZaEA1b5EkU/6KjcYGx+jYrzDH
534P9MbCR6hTzPwNqniwPEmuYW/eGy3wQHAa7qZ16CHoLfCITKp4X6RFcMMXV15G8qlNVKkrFFlg
/nuumgR3EPzjs15YSqRbhbnxNSb+rDE6ptAwxwgeZopKGNqqNfHhVcEPsFMQcmdlvQZ9gJWrcIlt
h+5KVzzZCQ3LGJ7I5juT/4vFl6RqmlerSfOtFvtEQAAVUfMmWg2dtk/ZApQzeP9+SO1yPAaRt6A3
LW81+4tF5Mc0tDVH3qK2vpBGREa9Rh7i5OgocRAhx135lJCWsaqjyXqcY6vgfemzIHBUO1GE9A4y
G23WNJ5SJA87s0NtNHaEUVjUUDerLKq93460rYhcvY0REktnqM8WJLVnCQv90A98GPe7JIaaDzht
cQJCfSdzttgMemouC/QcGN/adEsgDbUGDreETOswlffUufrmM6oELaLLpZOIkjdZe/HIoVhx7Reb
EI3/qgndZlc7hEK22ObIWaA+rb2w3Nr5BE53vvvnoeuY5Ey6/4bSgxDARuPcrwyxNdqUEzicHH7O
3KnNeultpPdBUB7aZ9KwrpkWNnvLjcTWmmBml74K145tDwejqMaDb1Di5ka0RTttwL3FstRaZAS5
pR8cK8+YNo4WfN0/KejCtCiM1WRV1tZ1UQlsBoXQxfKwDS5Cw+r3BhBz6ZifsdsELGdOcCtDzLqg
H1amcGNW6fA5tALr7JeAlYJKXmvDIbHL0xNrKxX+1qAEytNiAglnlPZQs91rAnrrYI86mvQ/Egm1
pEiBTVuykUuRas3JnYwGzK0S/GpiWGq0Fq4NknNKCfUqXL78wVZvnDpaosZuECYF8SXPmyunkf2d
cKwcAdBctnVzcnyYsWD8uWW832IPwPUMVqIEVvKYodCI/PqjF6bamxPNNoLDD4CvCNfi41xCTCeA
b47KqS0Dhw3Y6VozomsqAcUgpt2jNaNc9iJnxaUEqFxE0gMsdoRpZamv0rB2dojQvqnWZw5PpK90
FCt8no1nO4vfcsx8h6TO2iO9j2jb9k28uE/3GuxeqwCJ6+uY+4CK0rf/PWfNJOr8P5OI55Q1Qxim
IzyHMC3YbX8NijP1wTS6dHD2UAF2AxZJQXbkS6Aa+zA5fb0qHYNtRaOBYG1G/zjGJVPuseKbNO0i
9p8M7bVgleNJ+q4ZycG2aUrqVVKy4gBxStiGnq3sj3S4PyLpb+wxwyL/FbT+WZSjAiXV/O3ufz+z
my6yv6fcfw7/99//4r/P8Sedj+L35n991farmNPm67+/aP5t/v1/8dP/+O3mkPq/3Fnfo+4f2i81
Pn5xcWj+FRg/v/L/98k/Yu+fx5LY+x8/GXDSQ2y4uDS//fHU/uc/f7NQdJJF/H/+8yf88fT8J/zz
t/cWqP0/nr9gETS0u/6Hf/v1o27++ZsGRem/sHzzH5q+wW7NJZu5//r1lM05QkhME/3zN9f/L2T8
whXCNUxLZ8j22z/qor0/pf/2r1/jLx9Y+FX8cf8fOZgoxrJNzX/01/B52/VMz8T5Y3se6sI5hv6v
5x1AUHtUkW69B3ZTPAmLJSyA/8QIgSA9ED72Y12gB2qDzQQlgatbRfTVPRWG7VB/Ah20KE2o+AgU
bmM4bvQ5nL0lG2MTlU24MpKw2wUMUrmkSNJyAxvcRT6pAAOZSTxdT6fbC9xqMfD370Mx7W1Tuaeo
NdxTFdlfFg764xjkFiYYpe0Mrq+m77YIc7KOgtL+8BPy8e4P5XDUFrmBo9BFehnDCntLc1x1w50h
yLQG+8LwkpMheM089Mi8NWhbgAVf/d4b1+ZQhjtFU5+GZ8n8sx6Wdgc3T2+n+5pMDq4guVj4GYo1
trZXfrPpioD7P86T/+EDsR3zbx+JsMB7uEzZfMhelsdl4a8fSVCXdmhKJAJJRSC7tJI1/YyPInZ/
L4nZdokwWup6N2BieifCHUFHPBOncnQ61bOTIz/Wve6p7eeSKyGmrImtc5BF35XDipAW9tLWyh+E
ejeLbBiujKfU2vMJjhyLRyrxZkFyJvLQ3LzYMoop0Ij0Q9mPq0QD9mKNrEYOrFu21ksg6tkKgCGu
qQYcOPEcKj2nRWtRMQAO8sLhUbguCqRZtOPXsb6ya9hEmAEXSsmnEKTHJke5jZGX5E3OINSdfgXL
IKMZZDje7xknxHLwauATpUyhldT9OlSIqQ2hUa155XsTIACsAQ8cwop0GzO89c4T5oHZ9N0w6867
R2ad9jqys3LpRDVZCnm8tDzj089HiCy1vs7CvNm0GUAAB/8GJthgNaArYdeDltSfueiJzbkDNW4p
SuLkFGta2rCjpv2sarJaB0bsgxPBh1JXp6rFPsJGwPhyZRPEq6JLnbv+LrHQgRaetXOicJP4Od7T
z6rI7FUYaNCbC5tc2ojZK1E3JGFBkE+emq57cAX5yrqBDo6xyHGyHXJVsHAuup42lBJsGHw2npnd
w/WZNk3a0tOyG2+NrBGchf1DE/YuFrG5a4Pa2BiZu4ZBijE0ao69gEY5wZ4V4TjufdOLlz1Ajo1s
pU8DZFm6pL6lXUDbvM+Qrlv6zma0TTOr/ZZpjrl1ir6ie03sxxjhxRRk1Qowdf1Ijhjbn3WhY7Ot
O+3gYY9fDQQwpK46lTVCvA6t6U6oN1zkqhico5Y42xlPsNfAodGwiqkEuSotdLf98m26XbEek+E+
JiVT448s5f3odMIhNZMTJwiyzwnZWhVma4njd+PbKNeSBja+Cb3Ri9j4VaFkKEDYMG2aStFei4yZ
QheGP2AfoSd6HrskXTZ142LISCM+c5FRUZFUgwU1Tp0DAQRPTWaxGSi6eK0PU7NKxEEbQKlHOCSA
GVl1+e5FFaepxScq7PYnX+8VupKroYAR+EiL4nC6UQf/8B9EEjqLqOcMIZnwUrZ2tcTzOqyannQ0
q+82o+z3uGzqhWsSL5H6wamwRlRUybaOb/NKsZ0CtsfTaGwyp0REOdiQM/LoVTgpSRn1UzaKrR0R
rD6U7c/efiEpMV5hmiIu69H0OmutDMTSKXNJXJm1XJYx4m+LhEXmRMucDtRKG50fijGqUyL5qfGj
rNnynbgmbsyUgorvITPOLjmFsv2uJQ0WYovgdGAiStfqFRxXl47wLsZ55wVqbtRgU8nK/qAXmXmk
GGdJ8IeDl3pbpGwJ30PnWSn9LZKdWNmhf+m1xiCUnnSwVls3svxMuZStkh7IP9y9YuX47TD75mfe
XF2uBzloAKlGH0i/Q9tfSL7/Y3LQ7ekqE/On60qMAqJa6kKQbODABs6yeFEoN996nbnVY22vSOLY
EGPpL2qGEbmZMpGLfHsVW0z5vTSFXFrS9uiMhJCeli0sL2htNdArLyE1SzZfE7G90DFg6ftes84y
/JbAIuI1nLja65K1z6BkGQ2OPRfUYpno4UumpcNO14qVlaN80ePQXzse6sOxdbelbMWiZlRF65S8
QVeP1V7rMgzuEV/n3t/nOAkxxLyGVXWe3KBeCMd8LhNx6XQNl37WfgWJJpi1dNGqFi8Nkhrehu6m
jFhsGtd81jqgsn0KhakZ28cYH8iK6K2OpdrT19pU01Fo05URl+ue0e+mFilziFRWT7r1WnmMRgtZ
egAiIKlCsJ3sXDu6AQb/dJh5XGw+C0d7ykIP3Rzg/yWCjNwh8Ibu3iKxnE3DaghONXHI0gxw7iBo
RSBrfwS0PuhIKslSvjbAJmw0Pc43iRxQMM3qLM+NlpWqXxlhnkAS8v43hCEnkgtmkPvhsiw+k8rF
btTlGkEpBSJPOe3Skj6T6xFW2hKaEBbNdwK4cBIBv92QbrOIU+GvdGV/VWC7XXZMC282d0cNagei
x6ABMLvslRuyPWJg7HU0Kgk//e67aGltkyyvmhMaxs2aQkPsZ9L4xsqSLwKiMxKU+DO7FMAfzmOx
AiJDNpuPRwzr4Jxmbi/q+inuzZphdPxYGRDlqgztVjmA2bHkqqUvwyPE6CThnMYJ9yAK6WVHSdss
TZ0rbMD+Zmig/+c2jTviDICYm+u7HtWztXzlG4Zcpmleof5r5aqorynV1cafetrtyWuXkpkRjEyD
G3oC9rtW4fJNYktfZYgfrRqzIiE33tohsKa0adM0xfReFQ38hwLDr7Q3LRXs0tcKmhP6h4kTDDEC
dZmyO5bA5oMNqruu0F+Rh+gfasxfYRR7Jy/R12oqSjye2cluyOcSc/SqwM6f+p5zJZ4nW7aMoOEx
aG3IHJVE4JWiaIMi2ZLk68xvXg7Tf+Gb/aGF2duFGZexjBDSzPvgMuatCQ0TS7Kk9xjbzrVjlKtu
Cpkw+N0yzQgJlfgc3YpeEFcLuSjFEC8QpuyUCB7tYPjKkIEB68fBFJ8cUjEon0irCmjSUHzJW0HF
fGBx2029MawNL1ixIYs2mK5f2BPvDbd+6ycHrSj7R9Mp1iAGoVNb5dommJ3Rl2MuzLb8PR/Lc97i
hzAJH0wQn6Hi52OzM9Y2hNy6l4dYyaJnV4pdJXLaZtAxtL7a0NuM1wpVy6KttYUqjJ8pQtqlqulm
mJmgdvGjZSMJE3ISUC4YPpVrrIaqf/En//fcHt5wyu6S2ZLoUGsvoW/eBru5gO1703RhfJPOSmTD
W1BB5uocQ+1SDBN2X7/zxtB3L5MHZYRqYfjbGR68MJPyQzjdc+bTXNET2bCYV1AZI7JV9aculyjW
Cy6KOjC7KJI/wqzhV9fdT22IzoHIfpQjbdoMmjNfV8aaZakOQ+48mLjk1/5DZ5VcXuzuMZf12XXj
H8wCfq+V+0JSRuenIJ+Ll9k7VES2tjD7YVzNcPcqwl+iy4+OcVXdBl9m5T/R47fx6RHN87tZWO92
TRQN01n0f1FxMMzEPQ7N/+PqTJrjVMIs+ouIgAQyYVvUXJJKsyxtCI3M85DAr+/D60VH9MbhZ/vJ
chWV+Q33nlvubI8JrSwtsUGEcC7b6VPM1a7XjNQ6yqrNYhFiS1rXJms6cpzS9cFvSrWdM1yOKBur
FECnccek4z5NeBMG3BJRCkMubMzxwMVKHsHOaCpnVws5MQzzMZinz/2YvI4dKX6Dj5shniLCOMb7
zrZVQEYpAOU62hatLbeav6IYP/ykeAVC+cna+nskHmOK8PHxzKmNV36lCXDCoXnVElJM6AKuTUBl
++ZxHHlkSpvC3bKIzYvNf850O2X8tangewUS+QWKcSu67rYtR97i/mkpwMNN7NJM43cuSQlLoiYL
itg/Ar359jwkmTEBF+bi/rlT1G+Er8gZ9PCITuOe6K1HhH1IyL4WfHIbOfcPYSm3k7kcpEaEaRnU
dU6dPInY3uewsm5JEmPdoEEIOCXaYE5QTRNZoWXetOzk/Nq+iQwCPgZzxBLqknXeEJOy1Mvq7jqS
zfmrmxRl/jESZIQUVcKTamNSxM4S8EblFOcRsD8+XTFiqSoab300dlaHM0FVwwu9b0/NyPhliNnt
uOQVEBv2nTj+HyCTmP/J/84TTCEpehq8brzXUY/CbQE8rCdsmNUbCZQGvla5Xi85o/IQzuiq/T+g
PcPHOGNqCquJMIpYQSuE2YlvEIFrdxYnbOd5oJdY7ZK437iA+LYAFsmh6vxLtIQvlQeQcCWg2z0a
hNrT9QalQwfRj/suPM1OCySOtKkMV83GLBz6rBzWpEPMLgG/9xlZZwSNvC5FnG+cJf1kOl1tADcC
srgYjTr0fYeWc1kdyxhE1dSNXBDGz9RAWfYxuZjuZqgiJv5uAuA95QVs6m9z4IOPQmCifrA/FT5E
imHj34wJBP/PtM8sKoCFcs1OC3oktBwu8ZJzqc3DWMhuM/lYMmLavrZyq2PWc842yfKUR6QWwSaC
7awBkvcWgWyqpfPPcDWaFRxZ6GEEW4Fg1ZhVmYNtEIFurNiTW9dbBw+R9TTWw7s9Y49LVeIHbvM2
5NDh8qzc1bSyO+V12C54fW3jy/WnT6aqVBa2d2zyJQnGPH9XeULCUUUDA+K2LfEoosWiQeVeW4Cg
V1l6Znuyw4/4lQjnH6vJnICfEAqE/aLCoBQ+riHJA6FrZAj48F6kD9oL17lVcHSw72QQgUVzYy60
5TYlI9oXsg99F3UrPSkJW1voo10g+M65itNgrvCKu3Mr6Sh2bJlMHgEs1TkblNmZYItIfwOVzNm7
6RGgvnVsNbSf+FU6qOAyNb3hI39dVPO7ZM2d7joc3D5/ff8xxkSI5578GfydssxbaRV7mYMAzJwX
YjKjTWPm23ROnpWFOykVPHlGDOGjm4pgbrodAghri0Sd7iPEDDJdzETfJyoCb414LxurKeASffFj
8B/9BDc+a4jeZvd/WDbwFQrumCllbs1Uv+MGMfmzljO6W6ulGklH458RdAjuA9VYmgAf5zmR6duK
OSMk/imtKq7o+uK37b0ayvtpSM4ij2/TbPxprAshRD0kkOEP7Oqh7CgfZuK+IJvTyRS8j8CxJDIk
FlRB7mFWLaLuPuOq3rXtpHcZdogBy5FKn8umIACgHaGEkuJkuHAE5ppJv4CsOrPP6cgqBnNUBq0J
QJPqAF4gN31FoYw7Ld8708A1s1zCyofKmkgshGjZBiK5zEX9s2TzMVPZpWO1q4jP24xo/WjsmrOK
soOVGvuahJsgxcbDlyWeJCLQqGfCxILrI7anYhPPJqF8BANh1x99nMdzdVCxlx2LMI02UL841Ws/
+oj5s8mgFUtz4HEEu6IzNtRzXz7FBbq6UQ1vkoVNu3ATWNknDf89Y2vaT8e4q0rAEz1Qi9QagLMu
1XPcl9cSN9iGVEF21gTfur3mo4gTqRA5vrhEbWXfnobKeEXFEM1AEbRdDJi1AKGaeX6R4zQzbq+e
Mo8qvrfcjk+7e/GE8dQlMHND2//DGnmh8OlxeliP3tI89JG+uOPw0tp8HwtPBDdqvwF61Mgl28rR
MPdGeepbyGjRHKM2VcXtjpEeI4LJKzeqsMA6LPIM1Py5YRhLFm9DVwusOswpdRegvqi6SIN9wmPw
aDNFB0KwfEohzy63DuCReMuHO9v7tniuav1miEkFCUsLlFMtcJKBwQolkpQhJ3GFObmPBhwo0SYa
xkNnWhxkoaE3obbBmZHRE3byFSZ0Gbj2cRh8C5Mt8y84BoSQCCqBgmvViToKN0rtqRp+kxYV7EJE
Tp99WK3xz1qmDzlC5pTDfpwMlCMjLW6h1WEoL1PDWNEeXJwwPQtFMyo+DG9V+s5zE0A6slHgJoxn
N5qOTIBNZ+vmAThmnGtFy0ehgRpnOtrcT+sbuxiMg9uyZAmD+Ctt5mSbWOlDyHquF9GrPXCyk/Ox
SUra1Am6iVx3LFlb0Vo959OfNtuLwt+As1Rjwo9jj6TjTRnRFE1L9mMsw9405xdfEMCbQEwg8I8k
VxuVOtMwfOMXQQy0mSPpRmbHuuib8+tBOIQUWnrV1qqnVupTnfiPUFa+2WwmW+V9RSY4F2uOfgi3
3tdedsIHu+yG1CALtt27WfmWYTKuBgDxRC+ylkv/VUn2KhV5A4ourRXkdvrDPZyZKruUDLFatDpb
OyuIcSPFFDpS3Ux/8K3kQfwUregPuEC+Rdg9NzhEg1Sj3XFVfetNeLZ1/0zTdKSB3BIsfy7ZRw25
wC3MIMj78Bt71ZF+uWnKA+lx/I/5ty4IhZWFPszkyBOKcUc2+0vSTydtVyervE2ifXNHOvEDwOlj
pxMcdG3xOqMA58XfO7X5z23INi39x2pAouuRoLDB49m5kAtYC7E4XtD1p/V0sMayDuqZpC0nO1e+
uPUdxACx8wJp8kGSyRfEnvU7y/tOqzcgDh+We9ZmCXbJgGVdWuPJaWxyR1pQj457kC6EhSb/muu4
QT45MvmV/Y3TpuN+QWCOC1tfNBaZgI0npVq1YyqPaCKDsT0Af+Vhcs8wp3Zo0Jl9Zn2/9TD3NX5P
BLuHh6hafIupbnuNmOWjEzxQ0iYkmv7ZUjAJ8ZKz47vr6HK6GBYklR6lMcfZ+Jv5dbMVvfsX2vGf
ZLe9AVf12Kr6vFImjRSGUMh70y0/sZn+tlRFTLXlQYVzeKzt6b0T8wMGRgATYfy+9N2TNyEFR4qS
LekLhodrypredtPHPAqfQwyDyUL32ha/TSf4Z0EZCHFaux5b475BkpwIHyda+ZwIgwKpffHDIuVj
K98ywpU3Xt48Vx6WJhOlUFvckw8Pfmp8g1mClyG7QEt/zEFjIr5NscwDfijc6RK31IutJNejouCU
NkJy3R98b8Tjpfl0ALVex9Kg7MUA38vyyWBvrxpngsDIvanS3dBwolUDpmLA1g8Rx7wyzW8ymoJp
tj7DsvvOpPiK8/q9JtnaYYFzVPjTCjd+T9vsOwcQxmrAhQPh4CpG9O1T7iCX7KNoDsiUfpP1i+R5
hSdF2SMTFOU+7QSLeoYKdXzU1TCg1ha3YfVdN/prDolLJHc+Rs5YV/djJz9Rvj2EgsBgLC6b0Ids
M4TM05IhfWFFxeDtEXQGZ+/UvyXReKk41AnCdBuAnWfDGK7pkPwzHJs0pP7Z1PkFeSmS4PZzJPzC
7Zx31NYgy8TFN/ECgJbFAAbbmjFSnZDL505ww7osvIsd4D/hiLks5bPll+gKTQMrbsqTlVjzZ0ui
pdl195UwH1SN0KMv4i9HzHvJJMC6JmmObgeUj5075zjNnqMRZaVzMBUDRzScnA1TfdS6lBvf4iox
/emakkflu99Eo2+WkHnjWt1DBcmLp6JgUF2agk8Uq0w6GwXhh9LDS90de/9v0aTXMG5Wt61kITNf
mxYxp5ExT44N9S/PXFjhSh0w/HMOVPlbKoiM2UcTYJXafyjskYyV3oEhhGWJsEyM6l52w4hkG3kG
qlTr7lm34tkm4Kh2Q7BTut90vbXzFJJJgnGReqNczar2Y0qASgyiOPdhmVE4vy5aYTfGPElzya/2
M1HaTv8CEMWcu8tgVI9lzVVJfm8JTKdhjXUwhHPoqvGvy6rXJZ/+KVJaTZRIWKqLRzX228nWBOpJ
j0IpDX9CuFxL0UIiwOal7Oqu6MpnpjRRkEORyDUhKU0WgYCXGMAIST76nwO2hU2WTL8Y9pA4LC8K
ky79CixtKn6a5sfRbH4jglzFODz1yAm2C0+8B+KjwGzFl7FeZyTBa4NYEqQAvHDpolOv+79Z8XKE
4/Qg4YxFA/F41RB/1wIWdgIfiafAAfvC05IdCnzmdVG8aYN8qVB8ICYBm2e8L/7wYiUo/7x0CObc
AnTRcOsSIP+yaDQhfBogoF1r/PwRrQRP6g3z3gMmiBf0hJdGizuWwjTAk/xkcnQVY3RfRDGwOcYG
UYckFPvOorhojByutusGboj4YmXAi4GSoCQbZB4CB9qyl7IU0TFCPFmltxlot5rkh6pTZ2soP7yo
OfoMJQTxJ8QB7QR9yjz0V4nrDoHJ+DH17pNIvolNurqpuwWcR1coYMP4ipK7ZHDYg2Gg/zQCz8bn
BJ5KoJ7isNDmhbViHZi9sgNPXV1pQkKMJNYkI30VCB8Vi4aAcFaCtMP43NgSD0Aa4ijxReA3wxzw
jnEhRnxcuHNMrAhmkQcW8cupB8909H6LcmF/yoySJmXjeVyHWEiYrQsiQ41rVfePzBfBdzmB0fJE
pNb7XIzA833jxebMR7lWsMHgFcNo0/K4pRJwQVjrm95ozh6LVlLlm2sxrUvYjqpoceTT5DsvTqRu
IsUUK9E7o76aPsouXF5byF/fKrXeWlS2bdfeJT5zC5KuPuVonljBgswaXV7YeXwitoZlF6tNHxd9
MNs46a3oOlXjcOgH60YYTDLGPv0QVXhjM7YtcQsl3fxe8swMyfyaWU0XRN1N7zSKz14wriJp2x+v
zDl2xCu9W9x0OllwnpnPdmv/6Xze15XcdY7LoVy+oHuItoASIxDl/2lza2TarCw8ojHj2OTpETn6
5/kfgjFzYy24/4vswlhjZ9X2vSvVVc72e5RlX+zAd0wJ0FWPQBN08Yvj9G6w9X3FHH7M4Yn18ffk
ccLqucBfbJOoTZ5oEQpYVcwjRMeKoJiT9OiJIxFlPMC99yhZxmSywdmZ04fd4WW5n+zm0cwqWqfx
1V2iPw7siWfBV6iws800aMZ2trGboTttYD6zLcs4k0wVxxvH8dxNnlIhxF7DwoypZRSGz4L5T2v/
cMRPG6VhH47mT1m3n+WyEOqb32SJ3oej/TWnIB0rkzdruKEVWHfhKgrY3K+1AuiFscQ2I9aCSGr2
jKwIus7sg65qL7QX48atwRjgFGi3GGNORWp/1VJ9pKMFJ6D946KdoXOWONq2Zpw/YrE4KSYig/wx
ZPoUdd6HeYpbfZOYaDE1fNwAeRk6aSEYALCTElV/8mPjIys5NLqsJbPKufN+EEh/NTYV0VQLGVC2
9HykHuyavL+8HK9O4QLgjCS4VotXJ0kF3JL5nlkiL+bonGTsXUKr2GEgPyDc2bM0f2TZdU9YOXOJ
ZNNJSjC3JAl+G4fNd0dUG7utzzBPbgfYfoULzxrL70z5EKKAPCjtH/D1MupHBs9GZXj2xxEqkkyX
rYjqQI0gRPMYSFAeYYQQRKFzKeSU3Fsjtz4qR1Vnu2AinHXxDcWAwzTCnbEr0XekrbHB0/2bD/ZL
KOnn8tqjXgFbQGItiyKbKOSipt2dY4qBuClArBsDiCNRw6VCwp7L8CqTdaFa/7lt+tAIEw5ImXIz
2rASVPtpPcHphla0CEY9Poc7+2/mV6lTB1HBd17wZnR6ASXasZPts31WouLup/PQFae1nZDt8OgO
0z/pNES+WYdi8O9xNMC8Nz7myjgnTbhta95Bz3Jazuxr19J+e0SNbGKTXXRWtE8WrAMuzh70WT/a
SEOqzYrL2WjisGzR3sCCeceY/eGO6Gec8ctcPIr06Cu0uy+PPcemp5RSv97ErDCMmfiBtQIvoIPY
5iMgCv8nzRhQwG/+EvXf1HfPVuj8Yd/Cdk/ap12pTdlpvvRNTV+quDpk3NhrGOeb1tSU5a+l+Yrr
vqockHiU3l3f+l/oU4EN+M1L1UGrNbPf2SBBVK+mgPWbSLWtjhQtT100n0WCP8YRXHLRNXON26Lv
Dr39bJHebkcLIeTmvc9ILDTeh9nYJ/CG1iS/0n72W7WOb2iUVM/7gRGjHRdYmY6ZUNAw7Gp52oZQ
5wHh9Qft97du3mcbm5hhmu0sZbVQRY/JmF3jfDkIYd9HHeOkJjZB6Bqb5hfTxpNQ1Sdnfcw1X2E+
bqwnp6I9Wq93x4FrXMSnJJLF1sUTu5MEqNTmgf47YJ1hb+RKoYz0sQS0yJaBbXq88As+gMfQvfHD
7JfxR7KaVqLdYPygZ012mUUOetixKUVZuF1CWrQKMO2U/vlztjUqL2btlv9Cp2abKQSKjORGNPZH
bdbhRjTTORL5e14xJimJl+fM+F6f7HRi31GED3ENeIEk5Lt5zDh3U/QsteFymROzRS3Tdl5yiBEC
Ao0qr3infzPQ32tLMHFbhMkxLPKDOer3Woyf1oTrG0/kRnYZ9JDFgCDB7F/Y0xvY76NNnFegWjI7
64SgQoLDgiodnUAX2EgMcrcR39PngvPJNf1JPQuinChpZWqRMWfAK5gt7y20RYMebkBuw78UsToC
K9bxZSBjnDP/2TvaxrQveR19lmtrOGltHbpZwZScI0JHjSmoaBq4+oqfZMDCjkLUDwaywAODfdON
1Yr7ZWlexmz+YxOBDljwkht0V3s/TldNDTGl6ZK0O2smcgpYl7et0f3v4L0xl1X6h2W+eRosPN0l
iyh2I8NBcC9R+dflU5UPxVlEmEnqill2KSIHqIp6FEWCgHlF5hYqbzb0F8mFkL5/fu2WnHouXQZM
CSJ6mLqHtoqYfk3PBugVNHpUEXwwXdZUCbt2pOvHZqbERGZJ4eyeFodgt26N4G6FNoI6JaY8HpGS
pyWbcbdNRiSBJRQSlbEHq70z3j1ImjOTH4nOfiuY0t0SQ7HNbd1cK1Trj2pgsmzCRsUJ3B7ieXwv
C8+lpenOoWHdTmv0VC/PHaHVr95JlLZ9GGoXwrQ6R6V2LoyjU0yx/KBK59RZA9NNpc+1orNB0HgT
hqERMCdbGG37+UXMBtoDb663Bp4jPu3WcjfpYbhYVtjsBplHW93PH71upqPQqAas2G72TunbyNpa
/zpU5rGsJRcPI9woi5szVbRLE4BdNWtrdWCSjAin7fszzr+Lxg5GajpbRoxk3hU83RGjjTrHyCmI
2kye2nF12yTLo1xkubN8t7sZJgfunIm2orOYRgHB7rcQCB1UEF2DmIsOv+3DcZuSKUIcx/Lr5lV0
aEc0X1E78AwTXmvFJpGQadUynnJJNgbmP61CGQRzp9jRnyjOq3/1on+WEC9+G095IL3Yv7MrM99L
ExZbziEQL5oUXL5DuieIom7bbIeEt5EpqLyCEGXNUp26Yss6ZjovPgz2tffoXFiQ/8VFFXr4G9Ja
H8An0Ovr1cw/SzXuCkD/zMei+dbFPLWJMoSBxDxBjoz6BQuKWG7gk7xxB1pbbWFoNFJUAGXrLJu5
MCW+I/VYqOnImqW8AHOa0VyDRTELQJIYrp5RScDBLqAU+uSULDmlg353/egzJeFhMw53WT29QoxC
7Za6x6Rk8B47rLWdYsURtH9JzRFW4lLBU/GgkHQGBCLetGlI/dWR+JKtOK35QxNXGDT2cItUIwmA
30AlYXRYOxAUDZ+P8Ro2hpwIOg1KwImh4lpdcrtVBKiQ46KvTsrmz/P242LeDqN1TpFxb9AH9UlK
35UZ8WnW5LAaQ3LnTrQsIk1fQuROB0jjz+CJDbJ98+ZhydHwqPa9spOGTITuRGgE8k76naqFG5HB
yoEq5+5yo3vHM5ueYFA82c0ELn+VocWtRSWZ9TeTshm2sMnY0doySKq1tx1gvRmWbVEhhG+o/8Ai
TylZ2EsRpBzwu9hPT2mcUMv1DGvdeBtPNYNjehKw1K+O+zwg0/WBCGrX+RK8jHLGow6r9GKWpKhN
0eesMx2UprrxrJL+PSFOOZzkbd81amvEJiz3kU+rxdHUpGUw2t58p8+ysPOHKoHv6fKhBYQAlskK
O25fHa4OWIPHiI2AW73L3If5NaAnXogSaN2EthM/Jt137xjeaUhXKd/wNLFcNEuV3SEQhGUboh41
CRw1xy8yiKiUohiVFzsE6HsVJQP5EaL4jHLjA8Hnr8dFjjmJrIsoKU5McQa+WfXZ+M5DaqHharvo
KUXpsoH/QbZ42Fev7cCN5DCELfKKktm8VjOTLo8BF2/3dMsd0F2yOh6vyUTXlGf0iGHDO9z8mdIV
wdCX7yb24LqUgPbjh6l3uqATD2JiqEEWj62Hl9xAzWqivGULCqFPfiCofAHv2u4cM/rlWCKnmg24
bY7/RgcvdCNe3BaqqSWZBeWFPrI3SpqxONUsNv3ckvupqj/1QEXqRM7fnHuPYm1VClRugS8fUpdD
Ay6qG4ws7wBKdMb001ozjE3vAf7lzVT7CC/dPqiAtRNuPO/nJrwdvdxhBkHsUmZJzpPEONvafB2H
4Y7hlm31bRCPoDm9TBFKRb6RtOs0GGTW7mTsw0dA5o52jdeOmOWI+Yw1sJBMUrXJ50fak2hXw45B
i3ILdBJnMfCMhTCCvYOXpqiuE9PivUUs3S63sjcE9WKfjqteGuD/aPUPxKX7GGJjDJNA4YASODsP
9cQ8S1KAVPQFFIDxkpftrFw6mwEk4ip0n3bKkFsfiSxSpEMNpJllNSPu2UwYWdfolgeKMIVTNWxu
Kget4ayr8BAZzjml1z+TlNhaFf/Whrlm2N2QEUQGT5bfF052ByqH0WmU7FtdkGvWQP13y3k9fQF2
6xZjPziYtmIfW/4OS3yt4lcHwGBl1nsDl06iHmq3GwLsc+Sr+vZv5/Y3TNgBRLUYnfEjoNJiiDFO
1tbx6K/n4RejEqrcwr3vcwj3WUWwJBUDQ0VnLm4GRF3gPrsLDbwDPjpH5VDhiFbLnQtkEOemc1tZ
xouskDP1Ex8k2p6dG+vn+AZ+AJ/3VdEtOK/Ia4x34W+ENQOzqUvYwzi/hvGwX9ziNb+HekSiQOqu
s+TyTeIiDJFKEk6WbmxHny0v31vlCLxX9+wDIgQqMHX9YDbTLzQRsLIH99XpQ38bQbExcJvvfHCn
Gyg1P07RyZ3bH2JP/JI4xmXaWOGOUO1mi46NFNeaqn7ptB2EY8eW1fNQ6SFLS3tL82pTRrq1WQbN
ZEzbpKhPsF+fPSa/KbweGip7Im+hPIoKjHAEVwt8OZKNpHI+JXdN30RfNHmwiB3kS8ZIVZs/Tw3C
BNZn37bR3JA5cLu4zXtmuv/aajoOicyPWYcHtFC46dAR7DNOzYdZkgk+eO9xpi71OIx7AB7AmIHd
BH3Ja4tXOiBKgcVNIj9UyNzAT83mpo9ofcLYfEqc8amgTt1FSn4UrX5iXsOyUM67CriYgnCA2XBe
28vmfhT1XWHV0c6pWHWWDncPcIFtY/VXBntbo+j2XW/zJcmBrdJDz9O1gZo+3P/3A0KPb4j6R2BY
8BQpLSD0Bl2Pf7CcAXlX8Qfd67dIqnu/YdANPXCfxvKC2dSg7E2yYFHICKp45vms45sYVWRgCuTx
blEfkA9tpWEvN0huCK8unIZtuPgbHDvfVwy0NtRR8jh7eXLNcjrMZIK9Pxk/Y/PW0NwGOAHpaCVw
E5+LImV6vh/AL6HKZVHKpv+5aTyTx7g7icHlUNNgxu0W6ahXxmw9219MwsAWt0JkO28Ra2+dOIfc
/elGuznNoXNPfpiz0zJ8XBAgUO/hL53blh6bwDYUquVDnk2f0bTYp0b0X3zKyvUtSYNq1yRcDS7z
18bNogPwVYZVctwYpGJffIp6N5FvRp+0cPJmVmlMU/YAzyY0m8NVh/O3k8PYYh89LTHM4XZi5mIw
kFRgV4b0J88oZcNCf8TzcLRG5v8KgUSGyMccHWJnutt+lXD30xWScLx1aIWCFkGuFbOCq8bmPece
4/QU5lZG34BAaahc9KstNKE87aDmaftOhNE1rirCNRL3qQ+rA3MPgsz1Ok4noxcu9rvj9DqAYadx
0R3qubizquKuAYyCXNznqY8cysLSQ92j3DNJlmQ2t+pjTLL2QLr7+hIZgBGs1osPTNk8i63mUElC
HwB1j1F9L/18wd3N0LCYLVBx/reD6GCvo8OorfpMwVlsYMWfQWGQ+NpZf03b4lhsvtC2Q6WJRutZ
GOoXnC9i4/ZoO8jxIyFijAqGeeljA9kau79+IEJk7F+6vhyIX6IwIJ7grvbF+2z3ZP7ay7oano0z
NSu57SFjXt9ceTyRWQVqEOMW+0kSWQtlK21+jPW+VuGD6j1A4IKTRcmLTE34OUmDICbqEF3A2js2
EUTFmAqjB3IrFyL+sGehPjaya6V5NKsezkdZisDz4nux5s9nmuShZmA52yCEgQp315gSIz5zCK9F
8mEP5BbLDjOjGRmnTjfv7AobhKkkREZJfswRtMxVWu7IjSQRvQcdlgzmoTfLOXC7hH9AxYpYidK5
WWHnI0FlO9/kFIWldxnD6b3kYWTo4MLcK7epQEOajV63Uwx/D93AMGaaAbEjQ8h3meHpILHgqMza
+got7O0x96434RPJFpTa4cLPEhIgk5HhVtcJH6Jv8lgsEfo+QeAooHoMwhlF+Tj79+yDk61rgv0s
mAM2TvNqU3ttBxe6u8ofoU0x279Tcrpamfwgdijf2YN41VGrju5Cq7owR3N4Lnz1rDK2KKBftjmv
/aaZRo/2eDlmzIs3KOzgIZwoVD4QP+Sbpvc84iTGD9vQamcWUeBiyPDdG+Zk/6StXLSut10l9DGf
bkxTvk8JwzXC3lDKk4sC19+7OlXXnmcvxlDu9SdmtmwDDAwVLn8zp8nILJWryA7ThAqJxUme3jo9
klbHETceIjMWcbSOSMGmQK/QqlgOVx8bCU6lttgjrJ6XNz408lRY87s2EnlOAfyxT2s2pLMmuwVE
2C7P/LuOrIdL5cKKgUZJCnvX3pi2IfdNS0VnhEUL5uI1hzkWz5oRQEqb6yPmGEjxMzsEVgJLy1ay
WR4ovpHAQt5nQr5fejKHVHQRQtaXdswOSF5vjYT9ii7N05j60yVlaVRr9QGWTu2pu9bCinUUEdmH
fPKfSkRJp8wRMIRcF1p7+ZZ0Zb91pCI0IuvFoSsMFibKO5lKX2gg8309rVluNRvCztcnmKLlYZHi
z3MYUmgvvkQ1Y0DyMAF40waPqxWebCUfTG+QZfO0c+HTbGzQD6Vyaa4Wnmy/ZB8XRx0PPaV6Pfn7
qucvGXF+bY1kOqOM3IA4fUtWNkHW+gddyN8cbEyZt9GJ5Q42cKY6zIPNy+Dg0ymAUlj4HP1w+Svy
fscd1iEe4RhdrAs+j6MKs+LcWnTBdb4F2PazAF2OTHbDqUTrF3HM0svfVr1ud2jmOdgbIgTgtuxJ
HVyH6zEIQZMxl9GkiBMLeelhcxNv0pcBQlkSKDR0rTqm/XaKLTS8NTtqxN9UEMU44qw6xULe/5fe
FL0SyeF0vRvoMrGCwTM0mzmW7BYzmhx5/0n09b9yJBOjrNBMctg9ZuRBHblV6sOcGHSj1YwJQMU7
t4MtK7oPL18Q6mq73yiby1EYr4rsjp0gdC2Qyj11zcJoyS/ezZxGvCdPieiQEuWwsO4biOHHGmFq
6vIfcfQay2U/E2KwDsG54PlXYHjax2UrUZJrMgztvUjI8G274s8fqUdg8feI/7ovVTPiJa4AN4PX
8+AICl9rdV06J6wY49atSpRz5p0jrYgo7pmogNC1LxLNHmMP0VvVvpbIA8fCv2tFyup0BEM0Y5Qz
vcbcovX7ccb8TyGZqCbxXI5kRxmFiUE3cEVi7bTN0AeNOg/dmu/VJbSNCYqi6FggFT+DEf1OveYx
TfWjo19W2DqrJ4gUsOB7Rqid9F3qJqZ8SxGxdUMSF3vYeVzmd9vGoNJ0gSIiEKpHZPmrpHJhLK/4
5zfMMtMIwifHXL8gJcw1CzQ/RVOrOGadvuOaUOiWF3asbASfkEEfSqEIOSBlJ6BE9ANnerAtVq6j
LC5Ye4/43zwcKySmVtgfNpU9/rOR5V9KGV2jCGWN5a35OibuKWe8Wmjb9zaQi53pu59mbMtzZn7S
K5JeCqBsZ4oZ+ckaTZYX3RF2tYWFDY+aaODSLoZNPe/yCi/0y3yfp7wrzzlaQkhV/dmzzeHkGnbQ
NBzwU9gXXMzaRByaZbyo966f1Gd6lwiSIUbcHr3Vma9qFjRvTSiNrddWBe1HZZq0RdveHv0TozzM
NpEgAHD92X8/6PVnmXLpBv7vt9P1e/7fX/x/f/y/3/l/v/Z//x89it714/BNkijkEmnbO+X4n5Lx
P2psMVXn2F8TM//7aTuimTyGNZGa//sH/vvpf7+F8WtYGKr8D3vnsRy5km3ZX2nrcaMMygHH4E0Y
WlMzmRMYUxBaCwfw9b0Q91qTL+tmiVfTntBCIkBEwOF+zt5r84aipfa3ut4EzeK1h+vNLpkzOK83
J7/Ci3u9+XnjH+/949FPH/Fpd8rrPmiTI3e5t/SRWew1oet7oypBH0z11ovblUdxYKEUobIw+Ouy
pXitMBl4VGPcalg2iWzPsRT7Slb22jHgxiXlOgPnQoXHfMgFM6mK6eRNHzN6meEMYnFWmYf2SrBw
dMq42g5jfC4Dp0ekjM60ZogsM7ygoMAXmNC+ycbaOnUGaMtnXguC+Ws/dq+Vl3xVNATwrlMTQtX6
KEGus45Az10x+ZfA0HZo7JlE1O43M3ftReRqm5iK5aYfCZJI4RGFLXPQKhS3iA32ZTW3u1rJBNqQ
W1YH5amnYKVlAdGJGXTKygpgUnbHeEh2zPPe4i5kAtExFiDhxNxKflcWVOMuGvpzXLgbpItfgKz0
21wyqqIjIr0SGRz+odRqwaAj71CBwjgEKrOAG8Mitp0TFF7RssdcIcScH9E9mELucPX0FDT0Fzdq
yY3nQmOKTCKlRgqrOeLgKnTeYvI30A3ZaC520qA9mbgYLc3uRR/HV28cxtUESxyBImf3AAuGJgY9
66C9N3WMRhN1UEmG1M1YiWjRBMxlOgoTN837iFLBRv+3Fo4iaWhEB47uMiVUfgEkg8RHi6kVbSfm
tmaeD8ssz4lgKvxnG6FAnROfHjgUEUiuMZRzBxPm5FUbDZD5suwMrtCz07Cz0KJrcl2IWQKW+R11
IvG9Ecxpywyki9crJkuYxhqKMsyO3llJPtluSPfUpZVbt963EX3oDUO2hapnaDGX0k3+WUeCUWJi
ytH75r0ke2KRl+B+6JGFLKSNaWERNY2+6FH4ib0yaNxFhX6G00Wjb+BnzEh52/upuQzBOGLYSp8b
i++MhCSWFBjSP/706HOoBs0PstpRf97EWwuiCQQQttBqfL8+LU3WVWNbkj4Gy5Tp+MDhaPmZGQZL
Lr9R+5TJIZzW+T5r0j8f/OXu9YXN1FMdu968/qEO++err3e5kGDhi8UXv1UsSCwc6omwPZz5XcAo
d705Fn0OR/8f37cGfnQ+VBQ6OMDoKG0jXCEX95Cwwl4aAqsN/lH92Mu6JcKm2V3vkf5KdVKQ0+nH
ZX+obGvYUYCwLgSAx6q374XVhQ/Q3Tg4pQSXVJUQHbMDk0YX0nP1E62ys7nek3iZ8GVQBezrwUU+
i5nU42pEV8Jrl75NLEbIzLqbeufE8OTufSJprAjOKgtSqqiuuWndEoUZ12mNeY1HeWR/vdeboOnI
lA1X5EgE9yRnHCblGafrvZoe/LqRxGqCQk8ShDw3oWWpA/rrn9SFSSlufoQ+v7TGpJYU2yB0/IJ6
QkE29ypCsnWauro50WXFnVmwzBwatztYKCv3rNznRUh+Jp2hWwNDQ5SVUsvqSBhYuA6CixiGAhRy
pOEqLaODFvp3/GKKk6Kydmjsaun7Ni0phYpiGxA3OpEeNrpN/xg3Qf8Y1sV27Ft1OwyYVkdvtJYc
zlmzk1isMLq6v8k98cNpPIIIDGPyZ4WJtSYBFzxvTgZOSFIDV35YbDfkDA67uJDM8MRaL1V3RhCv
2UtVGuWKQgUJfPwTUPPc9hzUzNjjkGoIsOH67FpNvDDs3F1d77bzY9dbulXUZ6pGtPsJKlnynWHe
Hb2HWk76ZfTMnVFDKU0133vwSamIM2IpqLoBliTE6AEF9ATpygOWMN9NRIQFpJhzW2Rf3CKPg44S
OAX9t6lcJ6xg+0Y2VPtoUztIxN+pMRmjnp4HvTl0XYG9xJin6+MYgX4MnNWg6Atz2QgAhgPx9khR
2LdxsDYBpmOVUrRnAsdhzkc5Ylk7XnQLor1YkVpmECSCxRYp3VkVmndHV5p+vD6FG7Oosz1TLZAe
tInLZ72a6zEt7nrbNdxd647yntygjWB9eUkhgRxF3ZFZpZVr0XtQPBLDeMQFVu6xUTKLwr30WIWy
uVgqOhPSoz/2rqbWRjkQAlIxt9CHuoTxwS2zpY5a5xoAjrZaIpuwHptZpBqT5EPvjfk0UP6e3hHz
9h5Fz7ZMasCsQb93NTfEHeWnaw5s/eCAmNg4FJZm7ukGIZyzm4bYvjf8MDijiD3Wbvmt9JlnzVZ6
fOyWejW8gsbbbAasyeg7kB/hwRswSfDmIgDhyglQEJBRla79wK+2yJy151m43GtdfWT6QBUxpR4r
7BLot+mvSMMoCBdg8PZVbi4t+LrEvO0QCVDy1wYfzb77WGjpSG6r5p3znq9SbxB+3gxDTB8qJxe5
gkR2HK8PkpEoVx4l/xuhMO6B79ATJLHQn25kBbHDSqJ9glsZLgmVwGZq65MB/f80zX+ut65/fI7M
jesOrr2zmuCIOBXWqS3Rp19v4lg/tTH6OFx4ZrwsWCEf9Xx4dDEwb6gA2QfNzWxgvVW4sfzx+fqQ
Pz9uR8ZTBf1mjQ1VBVjencXoxnLfzHR4I0+DU1fjI6QQEiHox89JUCcPTmYZb6SRdcQyg22M54Tg
662/uvufPPbLlv/xpsLf7QboMBR/Hzv4jzeTQHH489W/fPwvdz8245mYmUgUur0+9MfH/bGZgubS
54/+/Nxfbe7XXf38+k/PXd/6xyd8evT66X98YmnXuEeuD/zdPv3rn/v506+bub61SSBBf9r2xzO/
ft6v9//Y4//g87NUkgf+yxf06f6ng/Hp5nU3/vo+9WuAMrQcFh/x9R8x9+V/T73/q5coIbJ9Mp8F
11u/fe/HSz5e98vmf7upf+G9v2zqY08/Pu23m//lvf/Cp/37m/rtcek07U5Aylpf9+K3e/vxxH+8
t5ouETL9+5v57THVnZZUmH/1mHxs5uOY/NV7/4fH47eb+u2n/eXx+NjLjyP/203/9iUfT/xyuD82
NVesogQ1W0z0YQO3Zkagj9BdFkI13iopfczH+vwgqga8sp0W0KemP3594fWxj2dVj0rv+uzHE39s
wVJ08BILMdP1mWsy3vXW9U8Acm8BmIWkErLrmc3VxEQNOrP5fOBqS6KRo9zxVVYSlnFkPnl9RLqE
r1uXfv7jRQ4ZheTUXx+6/oloU15KHzZdHjBHS8wGgML1mYC+NgaZzvjj1dcXXp9I/OCJQmxJVYpt
Xh93NBVcLG13feTjYc9Ck0REpLX2By94bhrDucnVBE4DbdvzFFPDR7brUE6o8JPL8bsl4XVe7+Wx
fs+E0L5c75kmLTG9b+6u98j1Wo5xGz1ctxqkD7pCa19YTP3LulJilQh33H+6aVMiA4gyJNOfj/Yf
N6+vTfQWBbwek1KNWg5xuxJgHkKE8tLxgfp+CUARPGcFRk17Kh+YHAUvA80T1ltAC/zaovjrE9SH
Y7pdX59tyqFfRMmcTj0/iy7maWgKsk58Zw+zJd6yuhY4O0Jqu6Xo31Jj+K5pyrjHE5giq8LgnLIC
eXNz6t8ijzZXWuD/B3D+EwCnaUkbOubvAZznon/7Xw/fizZ6+wzf/PN9f8I3xUzVRKctddeCFmzP
VM0/4ZuO8zdbRyhpO4LhWXo6kMY/WZy2+zfTtHTXc6RheY4t7f/H4rStv9mGTS3UAMSnu9Iw/x02
p8mGyuLKXJ0ho8IydelhGtdtw7PYExPkaPn97T5CDPpf/9v4P2XhTTTf7VmZH+yZrNsrvUCCNXnQ
yUV7Un1ACBNy4p1y6C262XPf0EFJW2Q9iQcg0hInKD4Ls+zGZUd00NnO1WOSUqR3XGgjU6aTXU8W
naUV30gYnW4+HfG/QFka4tf9N01PCE+gSDbgu3gz6PLT/sNW0WuELAOrxSk9okFcoVi+yxsTUaoc
TwERmzAxcL6kg1zpetmueoLkFoUGt4ekuRjzyZy2SXTdP9szy/q7Y2sK0+A7R0zI927IX46t0IrR
D5u822gOQK/GtrFiAM1ZuRXFrITYhUWhRw2ukJbuH1yhpXaEgqrw0gQ6eu+F4Tn6uqbTufdh2yOB
r5MVkkckNKYCCDHiIW5Vw/9XdutWJPoNNKiZ+oPUZhxozTWlsTLRUe9YrCuYW/kR9qhauqIPlsMc
qYT0uD9QAsGhD7YsRL2A5RXkNtr3eAb2T2mhbygVrAuLjl9U7sY5UMHFTWIODilVurUNs7Y4dFlz
yLuK6qg37DRXzuDszlpN40z1GLFKuxNQsiDUegDZ/pkkMKR4FWw1U7pqG0xBhLx5eBu0Lt9YZfgD
zW+9rePym4FsEhUF6r5p7NdtQ9oWzVh4dAbpGz0p8p7f5zvAEEuaNc3B0nE7e2okhJTyUmdm2Goy
iQ2wSqONb8P9UGW7yBh9U9Jkcus2MctHqJTX+FyaBLAvEfCCH/Fo5gh6magaaGJP4VvfwWgKMMlG
iZe+UPqYghz7q9LPiFytXSbbSw30iWw9klk4X6JVaicOxtyxXFn14Nw0z4kGgaiyHnPlyqPrqGhj
E6a20mIAbbTVqnVqduaeyy7yjzHYF3LwKZjRvze7WWo3ZT9RcheccLAEPaHEGsYE1nXcsRTbOvfo
x8ab6PC2GqE4jkbc3CUa6DFzQNijEpHB3C3pAhule1fx8TdVTS3M7vNDgPvzHls6IC9sKtR/M0T9
dUOMZ4Qv5aVo76fkDkWguYjq+2aEqI8CzVqH1rjEdOfdARpxKbYUcwu73aSpE8IIM7qVNaVYDcus
3gZDeK8MjzAv66eaUntbWeXeKFFK1r1XQG1EFTzi2L+4sr6byJvwvMrdFr1RwlDsckQUUXxofX4l
QLX2qd6u6la8duRAbqpR/AxxJRFqua4RjfNrgZpDtaBZGChp13GEXzMq6uFkUt4qCMe7aTrprQo4
SLedgkQJXd2gm8sPNUMfFmhz5on5Nuk1jEING39k05KQKDU6x9xFFSwu2KOy0uRRFXl2SUfnLXPG
n6YWDM/K9R+7BhrxJJvt5A3la4ZndF8Vajj1Gj+9sMN0GjuUznNC4CJ/Go7pgCagiYx3BK3+YkiD
H2OlR+vJgJAyEDq2YAYE1BIhmF8Wh6pvINta5Eh6qh2obuxjt3VPYPOabQI4Lt2AY2SQ05LbcUC2
E3eWR0oBDjTmWt5ybF+F32uXrFhXhYeqNSGBqy0NSjcVxjzAgry1vlg1ZujAiC5DGw+7rsfZpl90
GsZYgMRWjQPhLn2TreIA7KcELVFWgC+Fqok2dZN95zR7Dx/Mopf2k1frw31S/pjcBLBn1t77vV2f
a82KbrVxOyEUM8Ecn00Hjzp4Qb7lIBQjzM5+K4DCA+PlfJ2UmuVp/LSmJjNoAKVii2DrAX7HSFSb
uIWKiq4WYEJfUkoesWNyujYaTfwOkEAEezjHk4ITrURMcHRwMS6MHOldoCVLLzJw/sWc0RNhSA9W
w9nRhMm7S4TotkXwjBoMz4yjU58jKguLco/0sfjiFLl3SojBJZ/hcK2+jcpGO9IF+dEh1agGbAJD
ZAlff43YlqyJaqKLLbstbTsEDXZYPkOIxMNs37h02s+0k1elN1mPiaPd4tz0z4PpvYSdN+6ENONz
OIu3S8c8OfCGEBQByTAQAJyMSr6icc6edK86NzXpGXBtKJ7XAf9gVLe03+ndz+k8OJ1wxsA4+Mqw
DlIGiz7aaTzfbhA9xn6X0/I3YsKP4N44DWQSE4LFMpET36VfKNgdmX60M/eJogXqt9GMv/UTSX+c
NF0dvxF9iZOf6tuJ0b0Fzy2sVYxjMuRys3c8YHHxiC1TL49p7IT7MuyIwS4ADrQOvZvaH/t9vyoy
vTpkmThaMUwQCu7xHU228K7atbJFiKkF38YBJrhXsogJ0M/tYvVkjGims22TOdajqQvvbnS/Z2Gw
IUC4vWAc7ejhoQMgKrF5pLQ53ZMfp+pH38mil6AbjAMZaTi5iuBESpNz7NqGfIHiFfDOqyoDuqcD
etpMo/+Oelgdwi0UYCqujoVLhUtNAzNccwUXAWzvZX6fEPBrmoHDSsIwD/hB1IXEiYITYpfyaWei
PLHOgCtAhB5vuj4MVpVs5KKoGHvLhidJp4IKHI4vyjI52e3BJAsphfmCQxxKiO7eZHpX36Uu0rq2
2XXS7bbNWDwrMzMOkqyC/eAgJsE/xrfrpclmei3QLL+Iwu6JJUQhSORE3LnGqW8NKACGnFBGx/Gj
aaE7NGO3WDW1FW2nzBZrHE+vkyzfBFaM29zKVli5tRUpIwJtzM+wHo75SH15FNZXTtejCorxK/Bj
c1mP2WyC7Q9eX7gXxBQ2WJkwu+jZ7Ckw+2dFE/g44zDup+4tSpjYRFYkmf2M+muW9Oh7cn8PaAn5
0eBl59HJ83PVElA3Dukq13VwzmadH3uBYIwL13e8Cu86Qp9D1GrjMTetFzL13nLSPL7wQ/YIDYbA
HP4IXE9ttYa4EM17A6Di71yVv5MWD62gpbkqsnyrpr7f4dgoPG+41Q0I8MN9ab3ndNffhCT/qxpl
d9IEID6c6v3O94mPN8P01lHsblgmzrlvW0aWQhzMpvqpecALrbraRJWRLqoGAjDtVwPHd7dTkZxO
crD0O9kBPrIMUW3zODbu8Fvz2GAuk9Bdqy7u33oXwXsN1xBnSN2fvaolO9JxKPHHToGCyr+ta718
MgoxbnVFJK7Vd8WD9KrbhDmh3ozlaQoycy87g5ScGIBSGJsQ9uvKPBbFpI5aIMpV7jNxR3T8llXE
9BDCBS5mUsXRMdN04yXJcxQ7L7irjLuISVvLZX4pwsG4xfkEhRP76mC6zducFYL2bpTnrPWQJNU0
5+KOq4dNNMlKM3UdkmxERueovQ+uk23qYu6uefLFzi/sUPVQDPMgN5bWtp0mRvjAy5ZNHh+hi+do
+TqmrX69merZWNpm5q4lMG5FzMUCYHByLscAv71FNxn7qXOjWq2kfxi3O5E0zHRyfXIQ8zneq3TU
IrXC+tZDWW41eC7oshgL28qWnjPKi6KrOptpw2Pm2Cimmu+9H7uHJkLHSbxrvdXiAcFRFS4KvuAG
PSv2EBmtAvzQbgcjIK6CgT512C4GG1Ew2Av/JjKPzI7GfR2E2YIRuNurun3No+gdtqF3RN5t4t2m
q2659Eg134nWlcKXgAMEvlLWPUJZe/GDzl4PTdYsIk0QdECO5K7qIT1YGSpRMmg6+k2MQMQQoGfv
mMKORMxuUcXgNSpTiXlQHBqykZHGAtgYCl5MMELrlckJ9LG9nXVfuGuyJ3TgO5VYw6ZSEHaIwnT2
ZoLH2Y19a5dzaNBKB3AKHPNpKia6OqCwmq7a4krXQkxapC11W1N6Pxq3kEthjCAKcgh1AAT8japr
lKf4JJZ5j4nWJjLiplRjfVfLbNek2Y6ylXO0fcDQIGcJ4QpaMs3qNTpHOvOMiwQ65ciDi0WYDdEG
ENDFTeyKhQO9SLreRnEIquYceiB/0Ejy77ZcDYHk73q8/sA60Nc0Hq+qKOttMht+mwtYMQC3dBNQ
nzHJI9Ioqj/Xsfs9ALXWZGn6HeUnXe59ixvwhXBOVpMIR1alzpy3kRbXTDOn7WqistHy0bodUy4i
Y1Ihh2VgXAaNECsCvG7GtnUPXpquOxmaBz+v0jNJFoRj+yg8wDGnnaM/Ua34Vmptc8uMfuOzyDtM
btxuEmwxyF/yag9ATsFPonBm4dQ46HRak4AUoYDAlVOo1/B5sx5zQShZash4SRssg7FJY6+fKjRH
GQueQEYtU5SYqV3vWbfGzBkJO3vlBMMMdk6dx8l0Qa+knbk145fCgfU5zBMKbY8lOtpA19s2/Gwu
QyjUMrNnZvoE1rVGF74yFfM9LTBehbjHHgMwEyYFVQbG+3CCDkjggFg6UC+PTZyWR+aKS9MvxRoc
a77NRZp/QbOycHpBqduQdEJxNoSP3kg4L7xK6PhjNyz7OVREj2uo9sXoAUkGF6Bir973FaYnXIbr
xgTulfmoCKzYv6kVMOce2cNm8GL72DV0QR0d8HmhgzOa7ULDqCVHJZEyTPJlhpahaRdvrR2F61Tr
qoWjEbI0Xxj5PtFsh1wGU3k7mAzTqkIKU+PwKcQdp1Z/sE1xKHPhn5W5iYbmZMnylPWX64DRmzgl
WhPYBKj6TRWOl2QkQFGFMkdjKMy1MgChd55JjIH7wxWdPIVyWlb2PJEbWERgD76rY9xXkwjEsbeT
XdPMLP7er5+d6UIXPEOvVFL/7OLvrVXp+6SuPZa9CFAGQH3gKxyazsG3ATL9U5iIYVHbxZc2GOK9
U5XFOmiTBIntyLAUZ87aN4d6m9joowLfDl+IBsWM5ml45WEfLAESbhBEwt4ycuk8yQKpWqq7F5TS
1jqzY4MAXFOutVHF69Sf/MMArEhzY+/YnExzXJWqgT3pSwP6XkEMQrXT/Va/5CZhV9CgHiumUMvY
ix2GsWFXt+V4Bka60zyWShk2pYVyO75ikOdM6xCNebBNCxcMoxMPr1WkyL1FtrsfcUHz757i0EI8
6bJGdXIyoCpsvBAri0NPKXYB3yksJZSfnkgnIKLGPjSsTZS6LoMQvFM8E++Tkdwl9cSqhVoNwiLg
qsSoE9jcpncqji+eXnsr1Dj+Ou9H5hX1Ju6BjQhRPHRVhu8ceeI26fhBhR3a2tEbnrHQc8IC3EV8
4eDHUNaaDr72Be/EczsWjJDYMJa+MtplnltfhporOmmL1osdDrcThkp+lJ0CBzdqNlwJN11QZX40
OhsVQMflJmrRU1FnudUh0e8Q0uEmGMVKa9xqXzrhtMYMXb5WKajQ3NYrZEQgE30jupvGUF8Oom82
sNBIVScbk43x6WMbrgvs5V99YK9pY+1STTMQQGAcagbmAtfKzpBYgEdafkYyre8Key6b+5UiWoLZ
mWFW6GYI6tp4cf3VBLx0iV28F1YyoV4LsvpMmWgFSG1YBXYdbEyJVLwlFUH0qdpjGuPi4aXfIruW
dxpQiWWid+pkNNG2dGpiY3HJHDzftxaOLs6+P1Vf1DKyy3JZdFF+TN14Lye/IPgvYfFY1N/HKq+3
csjv9UpaO9+tRhg/M3k6fc+qOHoCv0RKqe0wVrR3AAMcSqaHvkoY4y0owa1Q/ckZc28rfaAmfgu1
vOy/dVZRHGyuCyCPU6KIQDiJlKmPhCNx7+Kx5P/L9y1Ky0VXAtSybZiRDQCgo7Lbd2KUI3x0wU33
0NcG8Mp62sCOjQG1kN9XmcaibrxhMZm+fYokgY4mK/wGrvNLH5oXXWLxKNFZa/J27IlrcZA9PVST
CTimltFboDkHXQT23cglZxFbj2kskyeYPlzcm2DaoYa5oZb17CaKKAIHGUcd2s25GYDiDXdgYfSH
Lme8RRe0SGdBfzVV51Fn9mJhUF8WRo3TIkUEipjWumHG99xVljw2jXYHF2Mndcc6ypGyVuGSBti2
d70riekTeBFUaE6rsDWsXeBg/gpGbwMBhijD+U/QMW/R54ua6rjAi0im5LXQfhOWqOawjWRlp7i0
HR2kSiRbXOaEAyWOpxbXoT+KYE5mJT4E++BIG3NKyPJOB464kONQrq6xlH6StqjH3HsZoRwpBcDi
DsFtv/Jdr31g5n/rCwccRryMIW9vgtyDZiPeizx9jZSFFZCQXuY1Z0UC5CrAhLfA5+UtUMbJVezm
07JNUvAKOh4z3QowbuHiY5jlC7e/tZq0FuZYeuuAvhhxFK/Rsi70O7PxQZDPVt2gKJZuXab3ZStZ
djnU7WqfDIweIV4HoW8gi3EhqwhEUzNAeDZJ1+y87qK7RBuYSCjHCllhh8tCG/T4GBILuiAdirBi
B0Ktz+RxwvLJDAwhLvEtcLRMCEhz2uRKd7DTkMcRYHEbv+QBBQ4988dlMSdFWgNenCTwtk4DeiGg
Ek2JM3/mXFwT77HConWcXDUuK4AZRCglnA1VpK11baJT2ksnW+hNWGwy4q4XadHom2yk1lR7U7ZN
XkjUsNAJ3hjRqJ+jFvOryzLmMCZ+jIIpg2oWRujKhsg85S1Ek8SXeyiDKIKoNeH0mBmbawPk36Ed
3PKmINgcqyf9jKgBp+WiiKrch1EjG4P/Z8+MgFo+q5KXFnR45O3I8MVRbQwDp77xxddHuNQqa0G9
QdiTgjinMXa+0d7Vb2wGhxdXljemwUxsbKV3wwIwX/2TnsjcV/jU06EXIkydDAxpCDgupj73JT71
RJj9mZYXDv4mlzmOSoDsq9Yfv9ogRSNS0je9jsrKSYwv2TxrcFINU2H3k0zX7qUKJg0U2iBvPedL
qm0INWqJoC7rfxJBZvzSG2EfHdcxXeuPSELXJZPu8z5GpgJ9Q9YGZwgZkSIZ0004PfsuCtiwy8Rr
5rCoiPL8Rks2XUw9oMWo09Mo97hoUQe++yfHjM7eL8eMVpvDae0yvDhijt77vD92khI3blnmxpzZ
CBNp67uhvyXmIsC2YQW7qTd2NF/NVVloG6UQf0/C2f7jnWCt8/eHhTHVEw4tQcO0TOeX3XAGKLSV
ldubsLHuAsGke9K1CzrFCGHi9M1XUb2MDfVoNx6Cv5DjIfvJWw2Ruk/tiJqm8EnCIBfcH+WS4kN0
9Dv/yRFgj4PIR0mbU5fqRhc8ZvMCq8DeZ171rpWEoXoBI2rlDPo5u9kS04nM3vJXVpTqFEowc3bx
UJIYDHtJ8/zHSkvK27YGTMeQA33LvuDPfZz6AIaS3f5051WULYEZ1JGqN8SZWyvbHKDCDFgluMJQ
bDSirahZnNmKUlteWqCALDIxNRaTA0FjsjwwblGWj4xDYJPc3WSYPfUmXmodQyRYOmOdkry7lHp7
drzHNA2G1SB78kYs8yL6vRNaVPwj8d2IarAmPmUS+gLbomFQMkOySUDDe5oZ7NnZiaLbomzDdEt4
2yOo+lsxhi4oTKnfkOvy7uTkA2SWHq3MSYPQExdPRusMt0obH0lFu037WB4d5sKLDETzYtsldXs7
JWKG1cN9VSW7ootqVdmPatCJtgNECpPJ/hkMPJrPxkStndrNIN0fpKHujMbIntKmMqn1VybI0sHd
0iNAsZ1bBngQxQSn2CtHR3pLMopHg2+PM4dfrj5iAoYdtyExdoFeXm7npdaRUiX1Dp/5sx/Sq6up
t/kp+EN9rJaNP08PFBoFw27u84no9oh3E/CKKLcwwtU1fDn0xHScKjohpLkvG0Tfu9xB6gnScu8C
SLqBi8GZ6SvromNe6Gg5ZF7UAEVlbRXU+jJRsXxwWqLhvBD02YRD1k5+JKwsN+GciOC3HZU0Zi4r
TTeIccxJezaBe74WE7SIWM+9g6zg6Xn4QFYjfcHYGR7Nrk+IipqcFebx0Cs31x8QICvj3Nc21xE7
oNI+d9vo0ekHEgqCbRQXGgZiYZ9GfmRlbeybjCgLy74TXVwdEnfcOqWDZpyQltjUVlLNKtuJBK7R
soDesFIifGVPXf6+yzAxhJ15NA0tP1sSCmKMZXHVVBazlZq6jjv4/qnBXrfIKEsRmmcSFTzDA+xB
mHuMESePAlpcqPsxMMHC1XTTWxpAG1x4DM4y5wcdeUutpX0VpcXP0J1XPBW0Py7rhrsYLFM+ZVzb
dbPMd1QdRpbQoXErGtijYasDBhI6wLbmyxbdZn+TtCwJx4HcaJkIB9BOckFt3y60aW6UGcW3rJXs
KzTJIKi++AonocNEj5q9fmsInbOfYXJnmhUrz5r3XTuZOdOMNYDhXVIyZbLp3jJMFisAzgZ9JiIU
XF8jspDsriHEjurjwFlGAxisMOMKRGrcu3JYzVkDTj5/COwdRoJoU2k0cAJ+vizCTHVDRbE/Rw+9
0RFDGXqb67dK5J88FiiGaqlfODXJD+K0zkT67g3z90cJexG2jIxZ0B5NcyKJbr7osQzQmWhQSr92
iYhffKtGflW5H6961U30Hup+TalyGUZDug+Em6+u34rWgyAYATukE/2tiHgGb25W++7DNPd+rn8q
fdgx0oRboCyrqCQTeDDBzSHwfgh/9GHLlHHAwAR01Vzogdpbae6fza6hxAcFs4v4hfbgZjP4XtQ0
4D2oVlEByKINtQ+iwHJWhayx3CVeh6+D+8OBWjwnUPysyl5bNRm+QR8rCS4yJjYim770s9lJ9j3Q
H+VnBxFnizlm6GdklW+e7Da5U6zBlHYLSHXvsSDAgLwffzknsNvi0e6rCvo+nlauTiH1HtZZBmnd
rBfXsTPydQ9PXdsDe2PhLDvKHoICxHI0VHGIBfkp9FO3U57sKtemFwLAOrDc/ER41u0gKZ1e6zQ9
JcIHB3Sh0wFDymXxGFVdeApgTvpzTWBU6a1UUbqmqplykifbMW7MVQ+OGYbRDwMPJfGEXL5Lar/O
NbzRwu5r6cre4D2vOefkbhYQHEaJTYuS60UlL9fepNtQlFNms9Rq8YxZqt6CbNhGOrWm3g4udiTR
6OnAP62yq7ed/NGQRrgx7PZVYdUlBb0i2LS2uAahKuMCbSAM0M7YHfJFUPS7stOL8xAMC6bVRPto
0FBii0lqDppzcYUMTLMLq8tHeweHkpNTAAiTD6XlawfFZ1M5rqkFJt+axprWpbTSY1DE1HGZ4n2Z
aLFToTsOVuQxswfHoAXdbco0bqVFdXQqYEMRL172L12WuptoxqJQWnIfU4UlySJitIAqTFGehUwr
usMUaWCoG+eGnAUWAI7X0BtkDqtMe9w4VmLvRAn0INUjjP3kxSytkUWvBkfJH9ahG8j9WEEFxlVQ
vjotbdeMHCa/8LOF1lrML/wJO0hUqHXg8326lE6KAXJ8XK3SBgdH3InixLJ6WWnjImobLuQeFr6Q
E/jahtFcoKpCQ6XkkVSo9cChR162gJCWYrgTPfzyCUKrUM6KGgF5HyFRWQVc3y+e+OrlpMfYdpZc
lII/FWQnjR5tUKT2pfm/7J3JspxYuqVfpazmpG16GNTEG7xvTn+kCaaQjujbDWzg6e+HR5hlRlbd
NLvzmhxTRKYULhw2f7PWtxL70Mf+uJ3NOQkAHc8brYTRZWTdlpdxue0BxANXug5qSk5+H088I9xI
8Mn6q+NogCiH+pmoYi9IZ1s7aJn1zuBGD9pxEBv8/5+t5dVcnPiqeubdUxfkTkN/i/4IUYnJQN13
Iaqb7CVHw0bso83HEGpgOTLlKmSzd+3ud+5i9Sam9LOOWYsUHc4VpquM+FBCDEuwqtOa48ucpEeO
tlvTjzn1tRdtk9nrVmZXNUGjj1eSf5g7uwacUMPRjxqDwaAuF6kIQTOoVp3VMLtPOPiB0Kr+iNEi
Wetm+jyUU0JcFKtHQU5i0NZyk1Lz4EXhnWW54RKZ55/6LGOPyFVPO9m8zsD3MFiH2Yb1FLQJ0R0B
CPKnRwC0+ICroswxCBpVsYXHaJ9mGyEzveC8STrOq4RgC0BJxV7w2Z4zYlErYamLO/HF24rlS6up
7sD6Kd2UemgEgE/vjjNpey0y3p0/ikozd1yXiHciZaxRz9fHBKoHhL8Cdmeva4JfAFppv9gsZgdf
Lsh/pwmPaoEFYKwfA1F1n2xDorPoUpYo6XzH5pOP8uRWfOu+xrZwTixCPVgnD0wnsYmBxGGKvR1F
jdRWtxaBDkOEqP6JnRudxFCURHzN2Y49NckX9hSuwWAoahXrC3RifYKLQ0SO74Fr8tQroyJxLitc
MEZm3BklPlXTzCyTPvm7am14lHX8Zff1LXFh5TCsXVFKZhupJ91+cHvONSoa8lHpCNiH5H1k3Yl+
WjEw1Nxqoicw13ktS9BQM6bKag+Ff3ipXQ+FFY/S3DTdsS9pxoWAHNnn1qGosmLrLkMV9C72tcp0
ukmoI4Y9DztaAPMkaU0ouGrj7E8xdwopsoVboCpmiCzJ242lgtvu1smuN5kahhDCti1vWooYLI+x
gUerbbABzuVOZa61NZunzKvSt3JQK3dI77osPWpoqTZTaN5NV9Nvls7Ydczcz6TSm6M5D5BYa6zY
nYTKNhbGH6MDE6zpyl8mGzgYmcQt5UqdeRvV/oUkiPFXZdiXysKRlnMlNkgSiBLJWM+gj2ZONRog
2rW2PPWt+VyHvne2WsEfVDG27akLe9SQUW2K986sAuJnUVr3IXKojG3tsuB7vPgbrbs3qWedseax
/iI8ERsURaKpO9s6nJoD6VruRtfFcxYzsx5amwVL6rkBa2G0EeCMYq4+vdqMHi/03+dOS1e+h3is
c+RekCvNaxHi5lLhKpU7xyIOHqen5Qy0iT7ZqBPJOVb71OXtMc6aapfAirXgCR4mJ3W308DkvAVi
eLK0CTo5IgM+eTH+9NLbmFLKxdTze95oIaFa1IiZdS7Hj9LKwWEUI2UEbdEhL3ts0lL+VkV5ll3C
SLKXe6qHZxxzKHG88s6KGsqnbipOD+0n6DcWpmmPay3jOejxJBbGwKNYIJ8JSZTcCEOf2JURb4HY
XBJOhJlL1NW+E+a33O4/4jnWDsQtIEu1NFIbJy/cJYMBvc6BW9qPzOHygXYMqVl+lcShxpnf3Ia6
oNGMLbR/iU/Hn88jUyFt+Z3VqhyyY5shVzE6D0VEQfYPsovnSFnzVY/xj0oDMtHg/+iaBfHiJlsn
md2LIIUMeJFcamG86OwxrWiodnWP37pX1rvTlySmC0HCnG+qwCoITtR1H5BG6OxHDUwAepOJN+hS
qrLKJNj+t1l+8y3rLTJVfa367t3wTefAXobYCL1DVJOgxvRYFDPCjF7DTH6CjBdrFqDVWnUmQwDN
/gFAkRlfmkYMt5onQsQ3i7CsTbsSgEgUBtGPR2UM8h/zXH1nfYQyYBw+QGpqe2eBiWepB0+z4CoK
rYogwI3jpatI8xhDXe1nmXy5LSVH1EPcRYpCUkje2FtqQc5aacangRQaXmz9tAcLa2xGANOzeKqX
AaGG+jWzit+o936pMYWeOiz3aw4RVpIaY3sIHA0I/6rCje5Z9AqZxyizGcco8A2/XzWl7e1IDGZt
lccswPBfm5MmD5I5n4d1/6rpAUpLyoyyIODRTpmcwA57cT337kSAaBuVkmPBZIG/HNluiQ6SoD7a
CfE0ADE8qszyky9zvHs+sSWys3ZhbxOXFmrNBp6aWGc9HLYiXxLanlvGhbtU6O8TI4Db6ITgeYXT
r3DIhsHcMtZytFQFjwtupKH1lMUkMLX+2eQ7PTm29+JX8XD1cju/jF+4Yc21Mj111IR/NswOOguz
o3OkXONE8uUqa4AITdES81Dxj8zuc+qu/PejmDWhFciYOQWYxWaOh71WGoxwi+K3a7ARYpd40XKr
f7HUpjMmMuMtKzpVsn9tB173wLzpwRR80cqp95UXXW0AjR8R841VCsTjYhQGMXuL+qExGL33kGoe
kxFPLBtTUE59y4zCJUdgNnA4OF9F1U78zdQme0hDa+fJLmW37TuR7HtlGKtyFjZyLOqiti6ATqK0
7CL/OuhVHfCEfSR2S+/rE2EhWJWvRnQnZ0e9ijie7gb6TNcXYWC34p2t+FFp9VO48FpMOy92U88y
j+HoLuqxbivGK4+3GoHNmHmZfW9USHS1PsDbhKLa7MwpVrcQ3+s2pToB5hEv9TUwWFcY69phiNsZ
CBNtv+W4taYK2O5HYwFgiMZlTibs8apaDvv2w+9rtrSub2/qzKKXjfjhYEzZ9b3+ZRqxfcBd8xO2
9XiptNGBQq0QnMyI6Iq04Nr27ap7FGRk9Z3yipBoLXtyjOZZnzyWsCwbQHNU0Xn2w10M8vGKPKHZ
TCxKjxBVeKP5x7rzNzEy6Z075e2eCNIO0iTqIPqZKFmbxGLtTGEybm2gjHR1uzcEAydQKpvoXb+H
ZMWcRZN8svCT8ATJRlZiaN45EjQHD40xuM4x70maGDNumdZ51u1fOWurZ+UZ9P2VONUVg32R0/sz
hlH7wtP3qDae/lR7s7BoRjGe+yYstp0rbdoR9uFTUenrWYn2TB9+0y1O6c50CcXOINyoKTX2VREG
YZMzIRopMPPcfx9LFASw91AIik3ILOy5iSVZp24VOL1jXkwncVcWes59gsxwrREZeQdGevBTnf+g
N4Q3M+5QrHXb0M6HoDbAqahY13fExjRH6VRO0Btg6ucuXBvJrJ6YXbxDR3c3RRcFqZiTHVgEmNNe
Lnda7AzXwSSbbF42iYYHTcD26kPl5u6vrpafqBUvsXThh6xcw5nB8KbzE0BHiaYfYqEwgBiJFNRA
7ye0lygFJ5uTfEicbuOMpQgK0yKYvPRT9JSAIpZXv+Sdv07bOjr2BeMEsPw2qsRNndZm4Lha/Q3F
By9EhCGgNNuIUt0Kv5CQJVEbHhqTfsCMwMKEopmPDyV0GxsTU1wmTMY0MRfVk/KEGo0oyEKotS3d
ZN+o7phybJ0hLsPrDy1zXxFnONQIqWvIbevyU5sRykrWzCtN0tE95JMZWL418VbyJjv6Vk7TLGk/
H/cQER/fnKlTZLiUsGPl96jSmms32peeRfwWv9Mut3y2Sy+YwiJ+f7/2ULQe+mXVxTJmuhceHI9u
BkEQmc4zNFYHGFXS7HPgWshKjVYxc2J2PRoUfVGhrTMSTU4q15/QgiDZV8XKiDS5n2xw8gWxoXQy
70CQ80WKHRs5TNzStvZjIqat0kzE002nceqh2m9kQTXNhB7ZC+CvOMu65QW0ZRIGPBQp1C4sK6IW
DFH7DI3RcPioLFc8toj4QpmvexpRAloiQipJ7gv0CNZqz50Lto38vrIISZhzCKnXS6VOKFp3TRi9
FiQgVzFZSn2X52z0svSKvwE1FwS/2pTXkOLpmgBI3UKWgIhRA+NrfHryUloGM3V7Df6A27flZJpk
9ptBd7Iz2oSrHjNIzi5Fz2CumKiegdTUUpwN5b3FrddsKjw0YAuGr3Hyw+1QN4ocnp4Iczekxk6p
BPIJ44mlMd2Qi1pGMMXsy6gOSLz8bGf0z1E8fdoo45CXJmROz/6TbnEOaUTSQEk2iWcfAVybem2t
q4QWh5iP9DzVMkf+AWepaJkXVsWi/UQFPOJRMGazDQrNYzEyD8WpsvKA1Ax14R42D24PQqMQGocr
MBVBpAWJNOVRTnGBQNbK//xBPkh9cPngj38P9Pavf69XS85GBLp9YtbSquKkK3sEybCAoVzMBMAn
ux/OqAABsfo/aBFuDc6iX91UghGOBijNDQgxz+8LkpaG9EAMzncyDOC5p8y0DSOdnu3Oji+mRR2s
34D7eM8oFk1IeFUVxKNCNZcRJE4Qjbt2op6pJquJpYMyfGXRkNNeIfCodrieVsMUZTevcRPmHmgQ
7BTVnN8TP1n0cVCU9bSxdAwK02jaBJcaL2nva8fJyl3YPy3SDBEXmzb1hrOCcL/iTTPs26qGiG8Z
w73iS93BISQAfZo/q6gAOxhRLncaeQWsdKP12DcE+CxD3bKbA70XcDPzxAjaG2LsN9S743NYWJ+h
O73oBvBNCRNj4xWcRli+BLOjZKGAaJQiyFG3BZcFPjXdNQToZIM0kGaVfvTSj+2qlx4Fb3GTUQhb
TmciJSdoNgnSaOot0GjZZeYhO5VadXdtwts8ZRew4pQfzOwD6BVnjfafhU1G+GWO6Wzb9Y63eqh9
MoCjccmxYFELR6tHU50o2wzQXWVH+DOHth+YUs+EFZLsEMH3LDKkR+xYob3XF2tKPyI0+C9SR2Fv
CthTddP7x54JMbZUGR84FIbVbNOPEWUUvRJ0ccQmRKa6kRxiBTomSRgHUvE7u0Ir2+3Un6f23XTy
+bX1e3uXxNBDrDjT6EynrdTE1zTJaBPzBlprUbqZeqMlxigRO1Ubl7lTJvCBCVaTXTt7x+fkrxgo
UcsM3PGpR9puTFpfdST0yHwTA0o8HLLsBuf+N+nlZJOWHrRC6THGn2lzOr3peL3XxbYiVndfpawo
hsavL+jgy9tya7BWlPEfsTZfF0vr20glt6/HekNACSEQonOujx8GvmbBPvgYgYjCVpKhjB1ygOy9
3Z85+IwDr1NWOxCSzciRz0lHXm8yainjZkseHv9o2Yo88iI8MgUGjZIZP/yeGJzGRAKZAQZc2fU0
XRNNIgwlu3Qkx1qBliPRBEY/h4XxRNKoHNvi1HdNB08hzMpdGxOHasrMhimeyDtxHHKfuAwmUtyV
gZEjJ7Gx3zzZqdHe9KLdRbP1DG1GnXyV9NuBieGWUGJ905oo1SZm/iezoqRnWQqSV2u6SylRrAsR
niqIjcRD2i/x0PzqW9ZjsVbUAaNssroz77e0mSO4RylxLzKZJk+SRcT0EgECPEieZ6CqSJAiUq5Q
dgBlmkT26UxF4IPX3zY26j0aod2sYiIkS/ttdKxvmW/+8gqdksNlEcuCjZXgvJP5NN3/vOWjhitO
wk8MTkkLz1LMJz0xr10yOfvYimm75pKFZUHEkao55DSzL9+EI571gnoc219+81OUK2OK7o7l36ls
6vEUmU1J14aVQnhTxt5v7J3A02mUEpBdG5/J4+YBc5pV7x2S2Nmjl/4rTgXBfnLGtX2eh/AtsUf3
de7h+jJ0zk/m6PWbzs3BHrZ1ds5MWd49hnEXjXgWdrbFHckta4w4Szd5jPzME8W4E/6Qnkfb+jAW
23qjk3KsMOkENCqbJAL4F7vI5LIFpStyWaOEzbRzNgUhYJmVQJH8HNZaxRiTXQIsUH9vW/GlOudc
nn3RDvq1bSO1jxz9vXHKinUBE+l4ZC+2qHqb2bqx+gFEVW+teLgkpds/8fD4Z8ta0FtxPwWPMZxJ
otfZVX/GokjwplV+6Vr1+sjckba5a8MkQLdpXXMH5uVklmXAgqs5uG54ZQegXcJmDKZagfktYONX
NSm5iZghcaVxtK85ApHkEg2wgARHDSMtwTVkO5B4NDuiWxmhb+FG4mUsmMCtp07QY5D4tzFTVe9c
XTq8r9kCD2UxbViSwcP3YpuKlISYxpUXrMc4/WxdHK1QfoTpYD7p4ML7rZ1mzfnxo5md+pxy/JL6
qWg/J9JoY/erUUP50urUB7Zx0/U23FqavmSNshqCPPuugUTcQeS+5aqMzj7pJyTX4D/Iw4x9ZGR9
8TTIrVI+eDSwYjyo8iJrkqipnKB5ZbM4pAMagEZPT8L1WCWA2LbCSzHinZm6Y5b89Lsa22Yd7Xsf
YUGS9d7Nq7G3ItM1BUDoKAa0WFgbrJZU1DDJe5TnNGuZCqrS6INxTi6l5b9Ypl0/WWRHAb1G395E
O6dmV2RGCPUqp3H5g6B0pWXR7BtOMXhwimwOSAhbeySMK28g0xaDP5+AvtsX36jfQ8BYUNUQ0ggG
YZKQlICFJHNTh4Gil/R0KBF5PIjM2QTJ2TtJzfhy48KAV+DtI4jIa6dlPedYpFEqjEMoMjKedqvU
CahigAumi7q3YJFQGkO6ghMHY8oTw07XlTg0tnOkau2PTZOG6KJm+9NLQKKBWgd2ab5l2SBA/et3
nGDhlgTTY4dzvCoAmo7Ndx+h89mxZLnOOr3+RrJNu5pQfO16OZFUUo5M3uqVXvBt2xazu8dGKoJk
yTR0J+uqOc4RwLSJGc1MPAcUcNO5D42endoOih416t0lMRWWGLONRHOTQyl8/zmboJ2kUVr8XP4f
bErxvqI8OKIh46x3cDA8ZKBax01mxpJXJ5awPON8mNgssz4/dlpXvZDFoJh6PMxLIWnHxIhhmcQd
oG1Q4xM5lVJzuzFIsdKW7VO9RKjUS68BRfZxGGl29cYTMQSTtPWdzbOFRa8C8o9T4yx6K3+xGpJC
vUXkZsk83yDKLdlnAwUrsRHH2ApWNS3prbJZD5tEGG12ZU0SLjc8fHAce4szi+t54rnlq+vr+qNG
YrsiP2mLCHb6pPMlo+RL1W7zZorwF5PzlasP9jPmwyki4tvXgk7gF2Isdw+X9kr19Y85J8c7Nor0
KW6baS2WNyEfYVipjJyxmkc/j6gu0ng+ZMweNNdP2AHgt0zfHa1uf83OgPKeHb8sMyBxjOVF04eH
x0glDdVrb0tzU6qrSYDCxnaG16jJn/rBC5Q5YP1nR3FaHJWpz+lmMLTZMBqzT05UkISsfSKMAust
+2sKSfcSlfnbnIxLw41/KxBG+1u5pnlvyYAKC8cL5lId6I66ndtP3wEYb5PhS7BSQT6QPzH9w8Y/
1hMpSPJF66W744kkyla9d4OqiH7ieA/ZbG3VNLwOsFmckUK4S8ZLLo06SGCDb8zlWef0MXEE2TsD
CeCzmOqPBk5oZEXhIcwxoqcc9BsgEdopWU6xx6+UZDVoc3gFD7uLRpPmRtuCPdrVqWr7miwu6GW6
LxReBhb1BwN+caZ383EicmlVF4oNEDNNBD6Z954aKI1LYpvxNNnbyLavNhKNqFGSD8bi4zFLcAZ1
bVWnH/u0nfGbwt+TUAqDKU+Yn8G5AZTY+T9Hp7wXJApADbYDFmr9np2yduxpRYKhdl+qkYr68cPS
6/rPX7Hs5BsHRzcqHU8kYs+rbXygv5guOE+8zZyQ6JU9Mge0WjtWcayhusFXA1Cz2GqEAgRqXKJR
sqi8cU1fRI/+1JM8Ip3dDAetUwyRB1zD04Qn1jUwYMwVBgU3ihTYSnRMODOxdkNLOMvKwjSx/CrF
0A69sEOOmkw3O+mmm+j4Mx1NFECk8/gqJmc7195ImQmK0cvrF7tI5dUH2k7Lgxdpii/Mk3+5VXGe
Zd1eFNmCOo3QK4HB7KzoUCrZHaxZhU/G8kNTubkkr/NZJl2jlRwuMS30aVrs3lWKPeBxPrjjFNiY
VnQfq+EcltplUG+a6MJrrk3l1m2H7tiQagN1kxVdN2D8KWXxmcVoR3KGDxi3ZRBbWrmGge6j3elG
DhhN3JgEnduqPYRDzRRGm7K1WdrbJCYMhhLRvkg7gdfN8C0NQf3kIaq5gdTRQUI3lDpsB9wom8GF
7S4zZV4wjZKUOX7NITVEVbHcwao2wzZtfxOqpM6qK4LHb3nYsxHtjWvE/xOhKvm6S17nbuEJMbhY
xRNgzBBAxl7ocbOLENh5FpNfXn4x1mv9LF0X5EUzsLcp8y34G1REsgqQRDQ3C3QkVEyH1ja/4azw
t45pADZ3STAekt8x0vhVmOCKr5GvbAzbxbLwhzVj0QmjYjzZ/o9G35GKzdiUC76anZDFF+scVc2X
3DQAPRTNM1jBGAME7qp6HjLK5trfDVhNh6quD1HtvMZMQ5lS6WydoikQNaOnBpIu+WEhqgIrt7mH
QzzJCL290qBb9/APCHn0fUjt3QSpXfPTkEY0bAjvLAjEqJKTNZU1uMsYvrnGOmaxFill7+REhkSW
1h5uk+7n1I27RDbpDztxl52N7q+kWSmSaPIeaVROx1pWLs98UdyhHG/sTqdTSZseg8TwHQ5qe9JS
ako9M2+45dJtBK+GWZ0NVdROXTotHCdbvaMBYg6SLtSF9sUbG+yEqj8kPelbujwnWOIoPmz5jDnc
3hFCHa/ljDY6w43JYKi0sWaJL6sOkX15S7xuEf5yWlwsamTALgUJDcoU1kqf6+wIyZru1BfFa+lJ
XjQIFQxBishgDHLPrHXV2y0Y0644A0I3nlvoDbBA3pjNWXtuz/FexaW45CEvSjHiSbPY2AclncoG
7HTM+I2HJ6qin840jq8pO50gnyd/44aC38+ybNtETPO6kalOpvM+DMPsZNYQcyqDtLI+r7w1FkVv
xKyGSKhvZHt3NDA5CMteW5WnsHHat0GSvBdGznCxK5/pT9w+hbkvv3uMCYwMRoZoOFlcb49FbHhW
g5MS7o23cm6t4TnveL91tQWZOzZfLd+IbnM/j29uo32nojCZcDQDFJwke6N2JBna1D/zFmCEjEDT
tqouGEIDSkcP36/Q9wF21md5LXeOMfB4T3fmqgggu+4NroL9ahS/NTv/FtGRHePKOrpjBeZLTRT8
AFUIa0CX3xJ68HjxOT36fcXTuGp7Cs0pYXNdKdjhhlbN+9ol9jyW8Z0zpF+n2HgDJ5MU1jTQI9jh
klO19ibjKLnxKrmP4/5WlMMQr01ARkfVqj8mO5qp534ZXI/jqKHZHVCiaE5sbbPFIt9G6LhaFPaW
gwKUkNiPKksONjKyg9s4/q5xo68kC08tU99DLiz3nHt+S7DL8NKajC+agSzXBhHbqc/Vq2MJ7xxr
GnapRZn4WNcllQFQovVxpigNXLFzIsiKcDKD0bSV0/VFPGz7pGPV0ZjacE4TiaBzcsdPXlcZRYxA
mcyz30afGRFkdmSUL49jK2/EzFdRoCLodG+naaH4ML3sdyaNgiSE6MOF2H/L2I8VSf6RtGGxw3aG
OQEPb2d4H6jTjMVb1F5qE6cD1kDyQr2XJhFHGXUvMkPxXUh5w/HggHgv/sgqo/ju44ReiSY0P3KV
cStSStaCqA6tQZZPQ5DunMgp6LNGa93h5/zktPikLvV/c9m+NZHNWosm9hVf/nyavfD7PFvjkfEI
boc287cTWFWsX77xMsWmtqs7sB5a0eKOElqyibMSo4s1N596afxqLVgGrOvrZ/Bvuwrmf2B5HSkR
lv1F6Fefm9RfRK2trJHehBijz9pGxlmwE6x8M3s2jsWQ1ouReQJqnQUF0VIb5TB8Qp1YIQHK7ypK
o7fEdd2VRrqnG8kKcHZ5J023P02EKWXxMG9xiRTXueRvIMpyy5i/OOadQcg3E2htYtIOq0m/NVb4
B09UfOxt/+J3jo9h3z4XAsMq0moWVPaLJsbT2BfDphRsp5OJX/jOwTa4I8o2Y+PtFv1ZzgyMPf23
qRwFcNs5z2kdr0qDl5uRFeO5IK5JX7Q3uusQH84cLnCGApiI7bSrskr6q/AUIQ5ym/S9+RkbIIYT
sjH8pB3vA2sbFIenrmXaie8jBePR//DNsA2Scc6ORSQ58ZmaZnYv7ki7frF8fNbr1N0ZU8iKI86f
tDi9sY1P8MR5fNl0t7s2JzUtI2liNZboRWwRGZtwtlgW4TshCY4+zM/8u1XPzrPLK6kYdRYp7fQp
Fz4Koyg22YwOPUeAw2ZtipUMQWQPueWxFCaLYl8wJ8bLXm3tsuPUFaW+q6VZrqWojC1617zYW5hq
1jImVKOuO7ECnSRXo5lTtyTDusW6ugllMhFosYtyYpD9cDqxU1jBFzGP9mS8qjAGTyK5tBG576TU
JMSx8RJIXpRqeV93Q3LsZ698d+OLHj25nlR7msea9z7XT28cHAUENu41MS+wrSLaC42Jfmhn46Xs
+S+N7JADXnA+HJgcEBT5jAR5VEhldEFb9VClp7ThLH2WyYuJcIdicjUm3Ufp59YTk7sXj3ajZXl3
tJpftpatY7N3t0Ra9OwlFbiH5ijozAOSk8gQwyuxLkcCc8K6DIQbP/mwkbY4P2hHGu/jMZCCxtCz
7MqtTVhQEcLSuKTfZFxmd+kRySlMuzp1vbkrglh51t33sme7cn+Wc6tOj225tMbp0miI8EkwpHAT
mjrKJTZyEqH8zDv5c8J1u5t5DjfUTAWRFUt5lYWbuFPqYrEiakcxHDDqFvvGssFn5Wl7qhVUYVqk
/KDpyM8twjhOMPP/8Msquy6FR0uIwZXijqmUz2CRICptK4ryC5LYohA3d2zFFTk8bh7jA40/8yQi
p9erMSCbtJaR5c7B4MVnrzdZQ1QoNUZBcI6Habu1xyYospDyoSejEpnePuNO3Pk8EcdkKs+GZv8M
LQy8GXuXlaUzSC9tkjrjxtqmNiSzcirHE+u4L5DS5bUlDJF0B/5qpSHAZc5VUMo62yd1253j2AWG
o3NGMEX7Vgrt2jWzfcyGxj5Gns0aeIIelcK02LCnitdpGPJfW/pKsk4oG4sUdAb7FLhH8P3NEfs7
lV2mOL46BZVIqBohWj9sUzPUAzZE3Tr3zHQjbY8eygTuJnR9PHsWEgUcCwdfQ9VtOQpq2FC9/GdL
EzTCf/NVmdwTFCH4Gnxe0ob4u68Ku6DWw0kjuSoVjAJ4dQGDQ/LXC+w7pt7+oFCJ8BSQoZG3P528
N99n9DkETl3/8ydx/y9XnOX5YBNNx0RvIIhm+fsnUSkb/LFHfzmBA+ysliJF9Qz+SOJAMoGtki+M
lxwOpubgo0m4UTj9rGzx6REs/Z4J99XgkF8VBmidPrG6FyPzvg0IfH7ANgCHGrvZnW2Edcog2JwU
tMWXyDRvpCBl332CVMjys9Nji/d+IxunP7rlKfXj6Z1hQHFLS8HMpY0u5AYuia16dmO/5+6mOXqp
UebUfKDTP3909TqeGlS+OmCDx4+qKQh3k6y3qe+gcfFBB8aFTtVehszFGF3O37JEgAZLkp+d43a3
LNGgiNTQBaMhg/GkhL4bXeIQLPSO3FYEQ40oSdaWaHfE4o4nNYeIl5cfbqaBZHcAT1CVqlNutz96
LQSKv1KGO56kP82nWp+a4+Mr/P8k0tep/vo///vHryIpMZV2Ld/AvxJFuWnxCf73INJVC5FRxv9r
XSFk++PvNNI/f+9fMFJdt/4h8IbqrqHrAEQFtMy/YKRgRvmfeEANx3YMKJt/kUgd8Y/lATY9xxew
MmzL/SeJ1PuHqes2FErD8AReTut/RCL9+0kB4pTm22fQ5romojs+3L8/n+QPRQCaXhtW+wiBm8UC
rWfXshTvUCXsoM5q0IwtmnIF8NFWKrsO8TiKVbXotWwz0a5ZwQa0sMg7TlJXBsSeZNeWvceqlhDv
atVC9U2mcbPMkP7liv+/QKR/P16Wj+/i2oTM6rg+V9f+NxCp2cyVRyLb/KqG2twKPMUbMcvxYC0w
IYVgYhsySGbXkEBqqrOcNy/lDu1AfZ/LEZ6VsbUsGV/rMfkjYkaxSiVLdcRW8+Y/f1Lb/NuR/Pik
ru97XGXbdHTrcWT/iz24gVqXVxntrU8sy7Hqx+65JoDDqfVqT7dSboSyo09hOha44oRpvgiT91Sn
riO+N/UH/zNSUYc1gPWJt8gP6QGyW9GBkmRC9CEsy2ANWtun3Es/USGk60I5e/rzPBA5gt/ZHIaX
Sbe+2nYHaWWtj0V7mBeWpl7Y4z5ZQm9BKiXPqVYwb4dMyCuYDScb7C4wlsS+ENoqSJodZBtskbYm
A0G6JsmRuKem8o5zjnmwNMjj1RuWRmE88KZ2KOXJ9z3/56v5MAb/02y9XE2P5wWntevwvZv/bhz2
xlaaYx8t+sM+vTvZnBx0F1hURVo6tvmovuiVjss/CX/GXS3OWtXcMQbLVTN42RfxXwY+gq8uj27Y
KLYy1UEVJC3bHgc/nokStDUqiF01q0rLQPYXDwqdQmnRZs/VHa//q2CffYaTtWb4g1rR/gIY1+AW
xc7muHxFUTe8ITpz6l5u9bqIN87AO6vuntjvs0Xpfw+EoL9Mom0PwAdJ0R2z723naeOq6YP/fLVs
Tot/sVk/rhbPN6Z0iMg+D/zif/6Xey8qDCk9i5eMkdsQBnWvOKUdVsYBL8noaNoJO9GHiDvqd1yJ
mGdCsodYMVsiQ+MymYrVS+WfPWQY/0XYeTXHraRJ9BchogBUwby2981m00h6QcjCFbzHr9/T3Ijd
udLE1UsHRd7RUG3K5Jd5EifwjjjNowWFsyegoHSjuRdtszl9ilvP3LZGM+8mnaFy9XF9qim43PQZ
Blii6eQ/Ia8cCYcam1SQr9SF/WjObl1KYWQENjOyOK8P+kZeec0OGl6MIFqzghaHOoK3QmXgoUpV
wImN+SCQD/hn4MEO+NxcjpAnOchy6fl5tIVIN65TM7MXI9o+HXxB9aP2G3Mz6znAOj1++8tz/Fhp
/vmO9G0TQUyQGrBRKH57jidRjdTkFs1LO/YJGaJenJPZSY9TRIsm9yQqH/XXLCnWKBjpuXZatYm/
hMxcf42ju48SG0hKoT+NIhpWkdXsI0H/rWSc9lK1DlpGSYjKyg173cVF8cno0kNcOtxApgBYGkEK
psnZjwlWwqKikuk+fqW0xj+TQ38kv+qUYrKkW5s0fu7iIcAtLBhnmB7djhTLhPT/WKwywWivB+ST
5QPwuaCG8nUcmv7NLEF/jQ60Ki15lUg54tyoxG3GfLjJfKfBgg9wqO3d8BpP1vXfn1nzn7Dpx7uX
ndiyGIZAzWbx/O2ZbTmq1r6t6xdd4jgqPPR3nSV6yytRrOIEWd0ynA5T2ee5sOTJqvyQdX1oNgHX
9JU1OskqHGWxkUx//wJ9sOCI//6qS1516FuO/4Aq/AZUKC2BEN+F5UvYVd6pilLrTt7W2H+KVaG2
He4MbWYJNnb/KHpa46zOddddNALjNTSYrNq60TGbDPIKRIRYQuQjH2UKYgegPAuDXO43Pyiqz4+j
hvDHqO15IHBWBfpWREb9PfzLUvG/eOzf3secXoSncOKyWpi/7agpa6n28Lu8DAe/KtszbJFpN8I/
gkQYrRIO7+sWFRq3pIOHQmHNIM6095lnoJ23p3LS5bVJCp92v5JrKU3YuHpJnBIvxTnxZkKCY0yi
MTxJKmrVKG4hCvY684w7eWaJgtPnzxyM8udqmNaVhdjO71EwUhvSlyn+bjvNp4rUxWmY1XLu3R/8
gsUnL9S7oAoIi1swrwfbHU7Ki3Hi5ZzOS0RcoyRqxES0NYa3Qo7mm1m89nX8sEOBgFG+c5n94pmD
0oz1O/pVCtFcHM08hdnrZpYs+CODGl3QXShGesKI4Hbtws+q+vTxIJB4V6qqGmwskT6nbmEd/Hla
dp3DCNJu3qp6YP7jkYHBQxysKpn4qDBBuXfA9qZsc9u6YXTfhl2yjsaO7yulr5OQkCUAr659NUVr
x4hbDN3zpqrIBlhDBrLVsPZJmObPjdDXzHhWjtndY0lbXRJFM93tWbWOkug9nCKoSkb84o5Eu2tz
gDDWsWHP9HSqYt3hOEyz/ezE4UvXkoyv+svMF6K36yPo5K+j9q0TYx38yT6lU7Cvh53U8JEyl3rP
GOcgl235Yyo7MilpsoxqGjRm3dqHrsH9j93hMvrCuhj4jeCDtyDLJ06cmIY2Zh9ufd9tD30yQ5If
A/wug92xxWTmPudoVJfjW8awSSdd9TrMD9dAC9kQO88bGytrwbwwDF3+IGbQwTiDovcA7qRdu7eQ
sFYiB3vZ2sjlRUy+HHRetPaM4ExoWBxcmDPntjVg0qWMNwenGU5JspZ4iFJjHxbwCWKFs7ieon45
RTkYPkn2TDIoWBl2CY3xgWRMq+5rj313QyQjPgL3mZEGcmPHZzW0ueJVgCsP3DFDbZzQhq3Xv6yR
/2X3UdLmhu27HhcM+dsamYMPwBNdFi+mE02HGJYMMgfxwdmkLaQvjLNZxvY944mO8OkdqwzzGWdU
tsnZfiYcDo7CpGtPlEX5liKV/eXX+/OYzhCWG45gNbfYVX5bJpWNpcqIRfFSBWW/HxueT08WF3uI
KrTdMbk7Nk3rsUnuuQ2OSQppZmSQQ3YXw+wM8tRSL7WMATQOMXFdLSuMGMzt//3X/KgG+G3t41hp
Ct9WguPqH6fK1I+AYEC56xVOsXL44C4wbY/0dAct8UNUJgZTmQ/3KfV3QNaIe8PVps0AWihDkINy
J/OYzPrgdkQx4rL9aZq23iNhWSugm/sBC/xCOKk6MeTd9o5pn8ZKEIpiI7W64MsYOtUV15GL1ytk
+uhm4VnZ4cm0ObRHBf6gZH6zSpuzDGT9Vq9k8pkm6BmghNIHo+x3SR/igtdeACW8ChbsN1ePpovn
ak7nBTxzY8eEdCFLOJERCLstwX+11TRLLiKrSDd+MWydGpnTSe3VbHnVkx/RB1uJchHjK36Def8L
OweAaEPJfd7ZP0LZGueyzL/ZgwkVL+QAGzZyOo9NZB6xoK7Qx0H0RfFLATp8bYeUWiv2upvRWqfG
aptVrylpxO7p7Uc1vFFPya9cC5dkZukuSPumx8Qu7L/dHNUfW7frwm/zuEDaksvR7x0cFkt3CbA8
euGSkOCbDeKjHSX5cvYbfeX0oCdeVV5nxleP3yEiA7JNSYPhO3KW/WDKVTPU1jGkvfVm9JDUev8m
rdz6lsyE48CmhSaZN4ac2GXjzv0cRTrCDtjZT5qZ2bFlAkp+Ylx6rGfvRkEXZCGK4asZxjcn1Pmv
YYBRHpSfhBbDaw4RnvG7l99dqC/bquXlHtzZveDjyTgWuwPtpQFguLp59UvTfBp027+0hrMShRTv
AXf6o+UA/Kc2hWwYjY90Bcgn6RkrvE3mPZlK6w7r7dG0TSFinSn1iEKoGzYndTPL8cHCjp4sv3Ju
pBzjZSerBGdVuvn4ryg8V7cOGu9hjOiy/fhebNAYayAX+Flob/U0MMbJM3EzdD/fUMG+tIGf8v6r
06P3eHD9YiyIMUENcuss2NYKgdQtXev74HsbSUI17K07lJXwOR/pTE4Ix29GRbEqR7wN8EbzswWH
eVl5JW9DNVwCfBYXNnIAJZrJhZeHV8ok87HQq9Gura0TjDB8YyBtcgwI4touzqhqeGbRyfZxDR0i
j9llq07El2yAqGGkc3Khh9M8waZlEIMb0y5dWu/9/KdyW/YSH98AO8t4kDEJ8ER/q5pieouMZ/j5
KXCKKjjVHdag0vMvAu/FheQKCGSoj9u2srgvB9LZZWZCXXHcUJieD8WK6QKuzyYPdigsdDcUsryL
CnVZW+XaJD9/UcwRHgwaeFlBUF8I4bNd2aw0mBaGnUdUbV/GsE3HnrdrKaa/LJsfB/B/LJvuQ35x
bOJ3ti+9368+c54YY0q0+67U4CPQin5NCW27AsG8NltaR1x7UNcY2/6m1Crbq6zcRlK1n7rAI08L
JCFianYbNAUEtZPB76dbs0wT970wujPLVPbjcYbP4s+9kzr31DbCvT8W7jqLXl1Bx9YiNtrxaNs3
C0uC7K3XvsMrZzZFe8m6FDpsjVPA74P3xqlOo+ft+5DZu0h4bzhN/iUaxKLtp+CTrOqI4U740xrq
U4Kd/A1E0SuYifcoTAiBl6S3qQRJrw3FTyHkEH6cfU/dg/Dv2MOOVtiJT1NHJ2nEXJqjU/tceC+B
Ybp/ecof0uA/7x0MS7lsgjKzHQ6lv+9UNl6/Ghe9e1dB9vSBdYVlDljK7dUFdOWpKsIReGOcbzrX
FJsK9Wxr9EO7KHvb2qfpA7auk4DiYfiw2ZQWsHLBn5ajrjeR0YBklKBVJs/d1WzeK68X9tbU/n22
pnr377suppM//jEeb5oHl02xHYo/TgdSYnIMjfClCMQNAUk+pSUhUss1xk/Ugmf71rXw8EQ97UJC
72cm5T87x7qkfmzBhbXbNWUy+bNO+l3Uiu7WPMrL4mr5yEy3MC8XWeJjGCyjYdnRZ3Kx7fBXbOjq
CT8PhFSYSSc/ilZjpru31jcwr9mFu6gdhhMJb+5vXie/wVAvlgF+UzAb+GW6JZSu/Oo6zyIXVCvk
MlyKLExXcxcl3yAIk2+U4eegmcRGpw5UNDM9xXYSXyA5RpdebmTZDueAeoILa/vPNEvbvSFoXuV8
DNgBEtDJakkzthkpdyerhlvli6VuhLcXheDw0WOoQU984sMQ0SDbddc6T3FuwIFl8t8rxtVmfMTc
V2OOKCiGBeU1wI0bEMECjlsvY2qkB5ypARxhuty12XbnyRmbJXMJQmEdsTOpmDgYWkUH0ypc0m+d
hhv0aDfGjhKQmGpbXIiMhY3Mwl5Ud8N3qoGXZVU5X4pSPxVN3pxK2zGujuyNa06xnePN9YYthj2G
koRXR5fDsoGmvU+63n+1og7UsURYLrBsceNUn/s0cj7Brkw3ObUkUcOMk7VVfcrkeysTrpCJOe16
w/SeeoOZnhnPbx7WE078ZETSF9UktzLGvr+gGKF9hKnKdckm1shi+qYG56tqg9tcwHdXLnZzdinn
+vFQeek9wdS1jVAyrx3d1tdHokeo6Fr4VnKfgzi9h8a8Zx1nQE0ZGWF2Uh5uZvrvanwEOoW3xoVP
w0vVcyNrw6Op0vD48RVYixC3TTYshekkhweRaamN+sXTUUeTRnaYs7BEJMinhSWLbOu49Qw/hPBM
6lTjjhxQtfT4qz/R9PCVFqtuYfslwZYgTV/gJjgQObnSuqKZz47x/eM7gZ6aC974vhHWFeq1eXWH
7+jVMDPFTH2xltNVNw9YfF0bR4eIPYYbvlIBU3OqUWa6hL0PsyBzLTn9crtcnfPHNLic8+PHQ1l7
+ZGzIBe/0paYtsiQlA+3TNBPpEx/UEqiT1Zp6bMMPE3DXvBqEgAlGcbDx/dhLyDZWLG/oUMNAkrP
tk9pQH/PbCCirA/ca3xPrJKomE66doYLU15zGXe+uTKZoO2B0JrQ4e12i1aIj+pBTw1S60XnYrq2
k8Nhva2DF6cHGaM6GW8as0AEtYfwObFc2At2T+01JGTCnflLIX3vaoHZOPbefBJ+7l1zZPqlqLll
+gJuNY4K2HUSGNXcGCZsJyu8D0Fx8hwMaVWRdevxY6z4eEBOFduWsbUHjGfLRFmhXhbFLZnABXox
vhAbkh3P33j/eGgHa214TvNUtiTEvGyqIeXmNGINg4M9mQd/juyFZQgDybCMKBfvdY1y6O0wS8or
SwyJ6zGkrBub7ZW4X7ouCWw9Li38z8LJPs3kTTCG1Va+Hqv8a9V32O8S52vY4V2MdddeyvQ18jVS
dwF8jNhy+amwHlyGsthO1MDACs9uGVezd2XA1S/KjIYAUlSAKw2aTZSRXXAwMxe1i+yLcKmpMJsb
PGl335rTeBM6GG+Ee97FEHSkBQDqqWA46SiW54+HLm3kuUX3k/QyHF1RRUR+6TOBZjgtx9A133H7
xvjidfu9SKPdxw+Bbk37WPvFzZ4rjiBW/RJ7cfOSKUqIOk2CG47vCo599xw0udh3LvbG5vFH7BP9
s3D0BhKhtS9DaCtawhhps5kkvanN48dXdtfAAvr/P39808nbvcPmu+uqMDwOjwe8M8YBp5QHbNdv
N6RD+niCADtM5QEx3Hf1zZqsy+Da1Slqa/MSBf1SIV+dQtW6J6rR+36RZPFuPFSDsI49Rp/rx8Nk
NeN1LN6Cou4u/oCx0pP1xCQElbidre+BbeKH9DeJZTXf28zlhGOTtmr6wtzPpmntHF9zie66R/yb
HZ57uc/vNzL09lNUF6c8Nl55KmZLX2sm0vQOVu2XLIAJ7hd0NhEgLHaV5zhnNZK9y4lUekwedlES
sO771Fyoop+2GNf1OhIMAtQj2GTHzu3jDvFxrVBVMPBkFftozg4NVzzLJWCAJ03fKlhD+8iUX4WY
s2PNm4xiMcNbuo/ZhR2nX7lS5StMF6/D1OEDiBIOc4t8mg/WNDt706FBDCGC/IEuzvzbivPHV0YG
6Ew7mE0kgYKbVMN7GPpfCps+qWEeTZKD3bwhhD6vwQQ2N1zGPZOy5FUTWWWzHGaMa9/sOcvuqaAp
zA7j4rUu250QxjVs5+SzH8TDBqfluDJGRHXy7qj/eoa5KOxv/WinT0URvAuzck/SjfKlZ8COaTpN
BUM4Z+uqBfNtgXF51tXcr0mlUT4Yamx4bANb8hDF2TO5s4WYH5kDUAXX1PvBsgGLzqKgPzC+DvnU
Qc+oLLgeot4EXZTuZg9mHFw07KjzZN5bSXG93cfGLs2Exo49g5XMuyeQzfmyH4P0Ozo8IBvOHzDU
q3vahrvCHd1PozL4pWq9cfGVnduG0Yaybf9THvdn35Oko2qQBI/4mP1Ik9V5TRjITuSi8qLhCVtz
eoAS+DUbYD6puVnN2iUN+38PLpUFG2lWNEY9vtflFpF75fn836FsJtq7yRpb/8efEJMxdGbDT3QR
f5cZrXu1cTstQ6sdPkPcPad55wG37eQq5QzUL2IM74vWH9xNgAU8dq3hFMyaCOBAfz0Gu/E9juGb
GaTzaZa1nQfABrYGHP7//erje2VcLaqoBrIXOJ9YxTkQBFP3aKNKAsKt7qJLbfVWcLGNVRc/gWq9
4+fCV9qreunncfNs049FCJXUqdJ07iUl+Qes04+vWxFZOKAwg0ZWWN6Z2+MQQj35Hs/NfTTAZ2Bv
K9mGvOYkZHUAjsWpZWXBePtplrSzWF5/h7zX303DJULn7sjZxa8h0YzFFLXpG6PaFqNyAhoiEdmO
wXmxAzowESRIp6ckMoL1BEx8NSeiWTNpJmAdRvlrWkCoG0mwQ0Io7WNsDbBAxwQA1eAUW06tJoo8
oXTtz2+JO5onL0AAtkKyHF5kDUzblHdWpj7nKClAfkhE6aHuz4NfjbdJhr/Kfnq80PZ8hsvFD8vC
Oo9h7T1pgTFv6tJi4TOtv4BJFBu7jJk6YVt8L6GvL+Oai2Bj+Cwu0opvRALx2zsziFv/BQ8tu2Nv
PAlsQnfDd/yVSOtsQ9/AfHM7xYicpuKxmrJPKmnYxsZflchILVhoLIXXTdvE9bovyyCdi2dkkgc1
hEqkNKQKMSqcT30GVtV1TftKD+rKduoQMhSassV90ONk80TqMdnWwGhXTTOSMskMZgx0IsGgc08l
CfqNOREglFXWrtNyHl68ottOY9lT5tcuApX05yT5ZU2d/Vp1JmrSOObXkuaJve3RrWAXaYoR/9sE
sX3JzcX95LXRO65l9evhyMgjeS1y1S7jxMRv3tI1m4Xm9D445UVWnXtrS8N7ntvQXbVjqJaY1BRT
AwU9THuvFrV9mPPye2pa9Wkcgy/kj14D8MnvPUPrajTdryU1nItKBewkrbgHgBzuZp9/HZAlR1HW
5LvL0/BxrdKshUJTwzFF4rs3t+MuG9+qzJNvtKaZj6orMiaw60BQ6pyxeFHxrDuK1qNL5bXOWczh
uJsdCP/aJtIHO+qLo0lhibYacMfr+vnfb6X+H34N38KYY2MqsTyL2+lvxhiIl5LJaB7ch1nEsB0S
+qbJcW69BrC7xWnrGFdU4mi35zhhmOI4JsFLJbWzB2EK1MKFvywF18UyaYAGzFFM9Ni7z1M2vhdz
TelEV9+xthT7NID+nWThD59o+pLAMFARWaQ3luqjZzwOEICqLy75qlWeJoqoGX8FN2kiDw+OmkiK
XYfKvDO8NoEu1J1a4tSHds7K5Zx5Nj7X1lt2qeyvtcPZpxTpMSUqxCELko6OINEWLczbkoquM3LU
yLzd/OENVncN4/aX3ZNV5924pTA3u3lzlN38iiwEAV29+fjjxw+iIonwR75WXP6wQJbGy8DQdjea
YuUyrCaPZfgrcoQIrQTlEh2wdtftPant9l47dQmVgSwWrgx6chSFjRh/xpMZJcdkmDTrayRPhs2D
p2S4on6YPilRmkcYSJQI9mzopQUmNooBBSXc+OC4Hf/9DeE8XvB/qFy8ISSzaEj1UvjO75D4Kg5i
hanDvxsTamXtWDcK4f3DYNqkzbzuybDn68TgCeKTl1+Setw0Y5VxQwqIArj6vWK0vasj3B9eMuWX
iMZNgou9nq5NNzbbOUiSd9TQeR8w0Fo2Teg/e0343GLeX5R1n968AiCe9OdPXZ/Nt2kKhy0Yn4po
kDPdAIcYSxwXamWkmjbImQaXoY2TNVnZ99r18UZrCAI66+8+uRQAjcPWCGNzyzBpILgItiCaGuzc
g5XsZtmgyPdcRmbcFeT3JYfunDB23aonJ5/0kgYXPI207fGGq+B+NX8b+v+3Z5vPnycUTh/MHI+J
0n9YVuh4EFmZDsG9Z7a5TD2C0hh52jWdQivbJteZDFhcly1FdrukBpQPVtq7//tLrv4YW/kWniZe
cHx7vPb2b7PwygBtXhIiuMPDWak5S3Y23pW7YZGF89yKkjFwNCduFg8jcGMdrfR94qh1U4MyUP7t
kLJ6BCDXG+ExpsFJ0+61wAtYrfm0NCfupRiqzRFAw8SWu8hMSHl0wTjXwB13VIplpBcCe5X65fxi
uJV1sBrSB8k8DU+ncgnCd9zahjdSwzzpDQYutc8rgDpwlfSehKi5AfdUDdL8pVOfUgmqhyC7Pk3Q
VIk3qQsI8zFrM5Ltsl8mSZPQcxREr1OOZISgdRaypy6MK6pzodP0pMZ4/5cn+A/l7/EEu5bEekhd
NzyKf77KNklurhWddweSa+9FCp219OOJ5A72B1lY13JOun3YZPce72AlfeOtGU3868hUEhvBYcim
cBNwSXnvAT3ORrwu67r6YVCZjYQUNfeUWOnWR9/YOTpxb4aL9+XjP5n7X9JLjK0dzNM3p3LAU3WP
uNaUnLHfZF9rtI4kDZjRuM5PaYgTciCYAELG5CEfMoJIKHFOgLxFob/jyp9cJg2up6Gq7ByTrsFs
TT1ioiLrRr0iWSUqrmBDVVDfWH63dj4lqDTNXTCiPf/78+pZf6xVNo3UDnuXMl3Gwo+f/8enh262
wS/ob7o3zZxwlQltRhughbKJmicmbZB3DL4nANQ9KeLCje5PRjkWlOF4vl5LeHy3ITBWsZ/bLzQj
rCavKLfJXOh9KEX0XHmAc80uUwhI5EAesD2m3c+OU7kb3Ob2Lo1E80rTEFpZH722o7zABCgoroGR
ErrjwK3dflbNYDyFepxeCoItRWj376XXVachQriNsuzSY6A/gEHxiV6kxH0ml7JzaTwZEww7PDmH
ycTkR4otOxidjI6/ElHBbZehv+/LRxFli+WmtKevMy2WW2MuulemWHgOVm4R+V+Vx3GC5gR1ziIV
n8ap8t+rgte2AZEDIrn3r9w7snPtRwrTCulD3HrByjfJYnAUZtMJksnkWSSSRqICFWKq1M7lg4de
iKL27y+q/+eSiIteMUhneug4f6xGnaFCYfT5jPQ4dZvp4XUa1JRgCHOInzpWe4SS3x5zixL4jCds
SQhRbQKnLMj3dSdCk3JhDPghOnikp7RrgvdMuej6sneAfds/zSDmGgwQmLnjAwZDQJZm8g7XCmXT
mJziDe182VMU2Ts7xgjW1SYkh4eePBRwpUeTrqlo3VpJdmun+pWgon3RQrxGfI4Qfuk35be0bwg8
KUiMbCbMl6unicHlyut0fCFztAI6SBsTR/VnKGovcH9ZfpFxepdUGhdttrg5OLfK8DdQEbOFolAH
0GaYf5NdUFPAzMWloSkij32gJX2GTYhRWyJiwHyTbz05BIEWvU3LbpwFL0YE+JLKbOtLNv4CP5S+
m117bRmz7WLliiPvego2sNDuyJgE1zRL5DY0Ewz3gTMgGBQg4AxAEnl2gYdYXh9lRWiTbFx/iVE4
/+UDzYxNKdtlezBt7/eFMoayjyYz3ZnyNauGBs5HohOX0aObBL8YuqmxqgM2SEf3cPGNS55O2V0l
5Y7SsH4BtrXYOy0xzX525oUCHbqZammuPVOoXSN5vZFXGdc/kxvOdrZu5Qt1BbVRnujCinYxRljx
SPIHTf/aokPv69qURyNvh8WATa0O0boxCV/JB69toKkbjNlyUxdGu8ITEkP+uaW8AUYwoli5xLtu
jIjZUrJ2qyLJFx+MGmJIm6GcTpSmMHKuqyf3lpt9dw+dECNAThFc4oEgGqc9fPL2FV8/l0OBbeXf
P2gfk/9/nvQUQzFfYtqnmMj9sIn8x+o5O+3sTWrs73PLOTMZvRBrE/yUtMin5dDgiuqL9EvgC31i
aWVmXYzN2S/prbKq0ripuv0s+vZXAF7pynhKrvKk3naU2L1WiEu1eRs6kJePnDUzExFtdWmN58Zp
6ZK00prnqHkSqWn+pWzJEn8eZ5TrYuqz2G0xqP6+KzzqLbxxmrq7l3rBPsrNEShpwQIJAVHgHT9U
MWKV9DGfuh0pk8GjBc23wYp63+iyH2/o5dVCFEZ2SMV0bGypL6GsKu50Bn4/ZIalrit74ajys47I
FKS42sq0ACnr6n4v7aHbeUbyA815OiLg8Vf0j0xN0NDKGqbZ6eOBVjFzEZkcQ5M49ymr7YxnyOn0
HBj4zpwiLZfcOC2mnt17bs/WWVH0lRjYIIo5hbhOdfJdR0lLPfEMyEUZX3GpNz+DKsdbVITfOtn8
mFLIuGFpXpntUHmj5CFABDpSpN4vS8Py1miB+Z3Dx8EbXfMB22HwG5DFNgMkV3Bmi1Ln8yWbR9D2
KZZxOdVwblKFGcEAqO49/u4OKNkayZ+XesLEGMYPwn8SbzGqi1MNddyiR/KOB/Ogi89xQNumDLBD
O7PcpSgUT/7Z7jVg+EqS1vbG9EABKjYP0mbogn6E/Ay+ucKU/ppq+VJY1Xtn+945nFsmvIObnzvK
LbeFOf1s/WZcGg5NzpUjoMJy/LNgTdH9IJfR6HrAb8XRnWlFzeOye+5tsyAfHt8eAzYwugSrZhAb
seT2azg9cjzIrtxOv1L/Wh5ig8NlaAWfg4LysxlxYiWbmH8wnjgaSylKxNL7KyrhJEifBr06KLaY
fJZDmcBw5q2/L1zrsWP533I/9tBugX7wBa3IWfHSiARryJVbt8Lwm5mrSM6EWfP0mYMzPM08Okzs
eGfhQFySbUvt7OASZA9sCowounOnmdrQoOGJxc+1r5kbbBXMXk7Po3gXk4JByfWFooHctUBH8EIe
RNG7B4J6zq5ziGk7t9ku6kuV5e0S4SLbJCQn4gGAStdG9tOU70rlzS9iLr6FM4kzReKXPLoBZ6ak
wkVLcQRgGm/JTyxjVnGUmNJccnTz9qmnGVEHI8PNks5qawyrDUI74mySqRNzjkM62eHnkGTplug2
fYecISsROOePB+ik9fbfFz+W9z/Ojoo2NCWoLSCvBzPot7MjE6kpdYbmnvBxAesxVacO/MwpcmET
KnxqOk8OnOp4rTNQNB9V6eDLjtFoMJ4yYJEoDV8+d9CdkCsPuTWAnTRD88nqoDvOEnV/zNO37qtF
CdWyDOoCK3sO7rOZR/hx0UvpT9nPLur3kylopubgsxlbt9pZoalXXnDpk9R+J+8Pbra2+m2aj/Mh
zK1l6KvsXufOwSxttmGnJxCQ2ai5U6LoiZEjyc6BLujKtUFGkWfamRrdUkhTvFhVBN8NR+SUYd+b
UQB2c8IYpm5ePNGnT5CjKNQ2gRBadt4++xqdYnT0yRnDz4miYgpZw6PEMsO6GvlcWDFMuzGxPI9U
0M6Ps6Nh9vpulhJ6inJgemXLdtYMpMvqNX48O8HjQ+dZyeXjwQuVsypzasCYvz+IEVH6jFM+XuU2
XFENVovRjp1eO6MZV65impkYTo4QIb95ibBujBsAAElKMn4MBCbuDJb8TVRldw6vjxLE+BA11fis
sr77y/Zp/mGswwpkKwtHPOYbrs2/eVFD3Ux5ERjl3eX9jIPb6XdpTENd0mLAMAmASnTZ1QiWkTSO
Oe7Sfo+3GASNMgSsHHtVOY69LvxhozInWrERPxtOIEg9msnfXIB/JGN8R5HK4haKO9XzxG+/a1tW
JrjqAbG9I5mBDLHDdkMOMx+xcgAKWldJZS6jjLmzwvu0pg49WcUZGbJ5qhnG6w66go6e5qYel6Nw
ztg/5r8oT3z2/vhIOq60XV9aziPW6/+mQ0hVjxMLU8OriH3+Y5dEG+2gbOJcxAq4cd3JOmWVRIEq
GTkjXVbL0Rnnk5locXIdMuF5+qAMYJ1uDFke2wkDMLVULShJTdeRYmn3/XLphkX8PCcUSSdxhDzZ
6nXq5d4nP6XZw/H7ea+U97OolXfsR+kynt6P5Oq2lPPGVwZuzhLEm7tReua6WEfxtYvd16JEBkXD
pjk7A+VXnioXnIQ/DeHbXEqxBzY0eD0RtSzsXl3JRd5VtcNkIly3ZuSdTDgRVyjejRE6QEUDmjPg
ktaiJugdgZ82OGGuwM3BMp9svG4k75dRmDH2LsNk2wgH0PLcj0dqacJF9PA5+bIJn1JNXCkrqHfm
lZbUhTgGDUsVJVSNGR4KHX8b2qJZU1qodlyxKS2bTR+7d19gBu8hW1TZLqnC5tXkl9i02JE70zTW
KWf1z7R1EHyntiorSLE78grexV3Dmcc5/j+Enddu3Ei7tW/lxz4nwGIokhv4T5qdk1otyemEcCSL
Oaer3w/9nXyWDAsDGAPMjEfuJqvesNazBvodwhKRj4cu22lHnp3RGj6K0WOZoLLoiva8H+fsg9Wz
UdNb+w4+aDtGbX4ZZqs7m6a50yxYi3E7EO5d4XwkvcpJD0hGnkQ9BXsPtRb5c9ZpLLMHOt7+kE0x
gD4NGrajgSUgug+kljn/sMvhixpSbpe0QTYjmKOGlfjWuRaxQl5GL0Nhl4Xeul5mjspdxHT4XVHq
Lm0DCkiiLNzPMMG4Oln4PgMsXtXt6OyS0aR2y9rmNFZGAzlJHdVswxn693XlvBG+s7SxoVUuLlBd
ENjy5201qLZtmMeWT5MTwdZvKa2ayj3NrY2AeMkA64nVqw1xKcM+2MGxEZAFL60DR8/NrJvu6kRH
gSretlzRZ5YlHI5NgdDVuDpxVj1N/aDOTuZR9mZsa8HBfs+Djj/ZTK+KePro5mi364r4ERWp77CQ
1Aem1QZVpSfRK8BPujABG7eGJzt+W35BK1keS8/53IMU5nBWlyQyaeaWXyJvAgoMfXFW1U0KMocL
TR56V9jbRroDmT0xSaF5fw9m75TR8j6TYaThesgPFt/41mID8ZzrlnmkAiWZx4I8p+LGfICk0/tm
Om0Xks4RaG53alB8ndJWByzOJ6ab9res7OkIPUjZ6eJaI4AnPCcko+7//aWJ5VT9s8FybCG5GhzH
xg38usToLG3IPXQpT4IWyEExsIkPDLZd/Gly7bpBeJik+GyhGTtWdlGtdZKSrlAakdU2vKxx+56d
9O2yx+HD9OiwESKysH71FPWpKnu9L9MnJGo9jYag9m/rixoRbCwpQskGlPGJ7Xq2nrWSrSs+WQmT
e13O5TV1XXacIoLHRqzHYUA4Mrmc020PCDKhprHb8tkxn0WMUtCqMMoogkfjaQyPWGirsHoQcvpI
qB0bAS54zEgunGF4I6SqmxvRxzW/VUxMc9UK3FbpjlDZ4YAWCaZzFQKKbYfdJFXyzqv19hp3MGws
lmWG8K79mtwgg8ou7dxLnpSrfxqaeBGiyMyPbSZgZq42Dg+/pqTcBLGXvvOEWH/7QmxuO48vw3WZ
Zf75WhsO0/2onOIn1iCPQRdnm0mXxbq2f9bU/rsoCTGWsyMENfuJ8CbjmKdpvEV0cJ4glK+KOWhu
Xshyt0b4klYE6JDCuhU1DHH02YSnxcBYg1EyPBTNhcVzX2berZ2CbdQPwRGR1yeAOfc5L5AG2NY1
67X2Bghgpwd0rM6AvSoHU7yNotz8qqqqYkjNa1MblP5FLx9UXCoErMZ7E3Pj7XnHPnkxPy+1ufnG
cDjkyBiVN6on5grpWkP0R2OXIIRHKLVH3F0yEYl+jCThoIwjHtOwhhulqDYPx5QLfmdUdCFlpf1o
YxcQ3ljsoy+GW2ABLggTdYFZOZhrQKtlL3wJcDp180QZJt8pvMy3XYbDEMJAq2ewVHNfzyJaBtN4
oZR6Gh1ZrSWhN0dBQij7lO9dSJhAKBHOmF7T0xiC4GujbTs0gghSJBpWaG+ENxoXZFcf6iD5iao4
3IsgPuBCIzLHy9yNwUYkHA11je0SSrOJUqCXpMN2uGa2If/BV8cBfh0jwWTy7PBKG7CrJCQh+iuS
jdoUkXnY6NY7kzyhv320manx1YOCYND1Zoxr4mZwUW17d2fqLmWNWHKYhl1NRMRRRGh5RyHZ08XD
odeHZj3ERC8V9KbHwq4/lbPbnHpasnXXqo2bNMgkzQDcsBjucZKZG1Ks2YxOGTo3RjVlExIl585A
aZtTgr/7g04EyS4y610m6pJ0rTC7W6OznQc1HzSJRQO5I3Y5XnVU42BZPymTWL7e2RI+UW4TMVfb
sHHnddp48V438RGHtGg6/xQVL6MNjBx7HsCTDX/8bBWf3aBqL02OjzIx4/nAN+dtx5A+wLH758jR
v8tGmQ89cAhVg1yawrp6GJkKr+Gi0eurrkbHE67nYNCe2sXxFS2hjWMwBNu+c2PWbsw5ZNV9qlst
2sXkK/lpTOcw5xSz8J7649hHEL21GveTNvdH/o36vFj6rVR9HXLYfF2VfrDdPr3mdX0RuCRnZC17
N6o+KBFEH5nr+97AXl7POygTmNtTt8196IP7iPL75MkUkmtRR34JVe7oMVp9zz1nvu1SXGBJiyGN
qcPbwZ3UMs/tNce5M9XKYhMoTFKGPmZ+PAl5V57UlDzOU8rqY2nUY9LbVDgD/hSgwvmYbJyo4WUi
uQf6NFtf3diS+vx19LqRGXkHJUpLbq6lhes+1jAdZeV0aKc+XyV9Fl69l6GI5QkK/63TSUOBMn3v
BxJQIxvUZFbG7t7LcOD2pDh4cDS2dSrJIMPdW+Em883BjW62m5xamXsH1E825QwowC4LUSE/FV5z
AseZ+REioxVQiuAoVOML2ctDODL5ctNgOuQgHR4ijKdgjLC6BAxgzNxhWsCjTFNvhZukGodbXxVH
I5K1P4sP6K3jhzQff+YJ3k4glGrFojU5GHM7r4YW+ZMi29qvWaWEzHfWsikaTlHGuVHfAc5QxA+B
/xF+JVh1kM1HZ6+kdQqh4OMWDcl/KHs/d9oSQmHggoQHzWf3rrHjyYsy+6T0On6IA89+yibSUJyA
XtJ4Ujn4fgYffNacx4vrB5s3sUthdFcWY+7UiRYYfctzqdlyW+uHYYqWgTwZwzXX7ToK272TVYtZ
rmI4ZeR3166MA/9zQZTCkfX91opNYyNUobbZCN5V8tvBGSEgFCl99FhZxgouy1lkSwZCS3xZxjG7
MqxKv9Yd096EuIhVPIBqhovxNBe18c4ZaL0tLXieudg9Y7Hgsc7683avEiYEIyuDu+aEra/3buNH
ZQS3zC7TS2r/bIWBMMFwHz2MaOumIH9wmJPhJKHNHIp05gJGnZIn9VHMQ7X1QNxsOhh+zGTzz1k+
AYoY2uTIAhjAf4IahwBQVlkIRnELa+BNHSRcOwOpbf8DPznfsVT1QYTFD2MgaYZ9cr21bMJK6ei/
VG2GsBImyIrUPZ76QUGWndKOAGkHhtnQ/rTD2roySfT1mfgwoWkNj7f2+d9F82/B0X8XzbaB5ceE
BuR6YlFGvPrQUsl3o2RDVz6Cj06GDvI6E12EktGG+HWNeZS3k3rLw1oqXgHqIUfHNWZOxqkeJJ9j
59hk51j5Zqbr8KuWfB/L/NCZh37OuncEHI54VePbBt8xmCKLDTAgo9dToILqQ4sGw723YV6tRRM8
tdHYMK/yvjiFrh8aEX9EWQUOOamotCHcrOLUO5Z6cDeA5WwnXltfo2fcjO3PuBN0yS0elMRwBz+y
a+uol0wGkmYxCkbmKV7+8AMeckNg+M9/YELeGE2KFbPEMRx26ToFBLsrx8zw40ZB7KL5Cmd92KTC
+9ZPscb+v0TcORef0Fx8YIplPxDjcCnBzywJWzV0f+WtalNPWFDJrdka8oSEj3DTITh5ZvGxYk1w
1F2x10qkWoOAIRR1PN+//5PExmITeOoys6I5WG5y82bdOgILKalJOv68WO/9YVjKRxtydmqea42Y
Gssb3vlm3pSQv78Z6A66zmtkvFG2aRFOZNHxzZQKwMowdmxyeZ62SCXA0CwBXnapYXNaDgRBsOMG
r/vRbSQKJBV8qZpsXg9kD6/GUDubbpmtIEa85GXbHesGjg5q7zM5w4+MPeIH1QcbwzKtfTaXxlHp
X995KYy/PGW8EDrPGPgN47VCpxFpH7ezcO4F9xCKkSJaR4tyY9bxZqM5S/ZGAsPGjvTLNHTksDpe
dwwj75IhML+NwF3XmYAtmuPT3IhEOfj7KP89O76Dq+p/prYZ0LoX4+bfP/hvZcufb7MrsOnraF5o
r/ga/jwCMX+hySeQ5s5g5ikXWsipU0QnjukNzaNBLCt3H8AoMjkH+6eaLfs6xO7WVNlXQ3UGHFaM
LWk0zNuG0Q9BW6SF/34tkuoTR+5I/TemJJOSbxIq0tXsgqysOn6GpCOTiMLM6HZ25nwol326Pe3t
XLkXFq9fItch8Q8ef5X9sirUanrWk+NY3EiCtkg0fQ7qYB9Ma7O3xztv2XqBbD6ExMAdCp2U+cCB
apfPvGG6Ma8spX4hx6hPE0EAxqxHG9ux8AaYxjWr5r2MWQuFTt29t8V4XWTzjBuSz5cnA0rrm2fc
didEPIhs7xiqIA56RJg0xXB1y5CDwLOSdU2uB2vF4sUJAZhJlJPJOp2ezWm23vtZXrc6v38Wd5lR
cW6/XahEkYsOYRqdezu3LNLYi8RFl/C9fZrIdsEcTlJX3MwEBYbzSxxm5Qn28tgopGBJuEeTC7Ip
7OU7T+CbIQw/FgogPmmTc4Ar5VWL7RCFOFdGYt9xMijGkOzujeBm9UG4BgcaYQ3t1/jGIUfaJG6z
x7uJglq4M76SAr+BiaHeqXMXqN0fYyHbpBbQDWnS9/PdmMvL/l97d3MetEkWJdIPFiJ8PuXziER9
HZkCMg6qMDMMx5VJGteBhSYhxNiSCNYuy5vSCF7E5HexksDZAAMvRBzsZxAEAO4pCRoyoHakn6HM
7vqB7axLAJ/eArCxEPL7qYOzasRouIMVhZqEym5P32asQUHofg7+E5QcOLzKuAsKgVUelM8tyWV7
qrS00lYGZfLj7Pa3GM8Bl08JZkwjaYZJL4zrON+kpoMfhEHYOyMaId7csnxkVDdoQ4TBd/naB9y1
Oft8ZD73Ni7dD8nojn4d23hWtHlvRSG42gQqQ+bCWlBlSh6ocq+i9VZDrA/XnHySVYe0Zt1WMRos
uKZyIsEARHy/rj2Rb1Nt1Y+6jaUoV/ueASPLep39pYKCo8UlnrcWQEtGfw4emA0T/PwmPWL9KNds
DBDiEx/UFyQP1cgMprY9y6rZZ0GwkzBePxRpRXePwl8ETrmpK2hNmoulP4i20WzMEPGcrdXnGl8V
DUNiffTSNj/2eb3tmupbminfCoIN2aPGKQrtU0HMNWUgEJbI1E6pwpWI7Rm9dG9eM6zrq04F2rYE
58scyQTQ24BTx4dAewlLbjOEQU0QWfdoddbGbS3M6pm8ENjgEbwZTrhdabyyEKR/ns6HNqoeKBrr
nUeqRIytfdenMflFRrkv9a/1XKhjrfKzie6lnbLoJhroETKLjsXeyPqHMY0BdXFV7vVIbrzfPpQq
uXdSxylUVxcGku6u7yvMtKx8N0MBV9EgaBAo5aJ54XefWSW/M5QRb05NTJUY+SnLPVhbbE3+fAGz
NPSsTsTiPowuxw83ahJ3PgXmvHbKHOPfZPohipFeQMJLNF6/EXfPNnQIU6q0YPvvO/LNEHA5m4Qp
OcnpFpw3vnCCgepiAtVy12ruQaa27r4Iwi+GpcQZWO8j3AUYCWa9HyKcFGQafI9nKkuV9mxzApD4
tRDPom6+BJCIGaSah0Qr9ZM7oU8b2MRAbNPOwOJCnwjzFswHpF7meyuhjw9zWGR7DBpHkz8iOBcS
LjKqc7xcRFdGl1yG7el3z+nIgX+pQmsP0fuoMEwq23tAOMFoRjUHCJXNOye3vXwNf9QOiy8BFhpT
fxfb/GtrQuw4M9bOTL97EPk4kNueKcRBgv45MUqyVrOVdWs1QzfGRQ89/IGVtNqWtUl2RGB3a+bg
AzFsM3mNNNKoCje9adXwEGLXd6sc/lSJ0m6iIfeV1m3GqLQ2rc6GY86cTwAaVkEDqYGBbOb/tufl
1YC5CUPhup0GujASnym9rnhuHrNwftTiXj8YREYeBxfP4PKh25gjL1wyKGuq9DhSa5xWneuwLOoJ
LNVltHXHNrvXgLsERDK/U1EPAcvO3rly3kBgeMSsRdwtoMsxqnuNP60G8DDCy6Z7g7foxBGUsoKr
1QE/F5uIL1Ou66zpQh75UdP3kvbUdeBIPSDjRyssNBN8Xq9fw4qzs9R7sR/tFIy/fi1D4ltq5MGw
v6D0oKRi5Ic6qIb3QcBPySqjfnHNmlyauKl3juyPCSVSTarQOsJ8QIfnhOdoaUIs4hCQaPHLiO8y
BUHfjmu2hSS6mt9q5yN4Q7yOwZaoS6alHlFRbjjbq8xGYtCHBMrAnhrOCLW+ZgJKW8St1Y/O0QZt
s02MMvcHlo4PYZX/Bxz8ffzf8GfBsHsCG/D/8i67FeR9Nv//f5zXbf7y4fKcsitECUD+9yslSd4a
Uy6cbLx7hlgyHiGFu8uqFLZKuUqNOrwFXCvIE/WDM1SfWahvtIKuqsMdmyxeIU7DW59U4aVz+i8B
EyMu9jnz6eaejGbwOcxClEIRiLFycHaiFYR5cjJ5hQHANnQPuC20S2hPHyvCRfy42uCJcdcSx/cl
3KDpqkiEAE4mexTByI1LNwoOdN/MB8AAAGgecZux3XRAu0FGNbdRh5u19HoCr3le8KQxSCV+BmEW
Qez24vQncSpfD33fAzTCyosMmusnWQIiiSnRJ+9edoTF9o6+QfkH5cVItJ1TYgPQY3vY0mqad1es
LAJKzhnQPyuNnIMjUGWSEOgzAkyOsfYhwBBwHscM039LEx3V+bae6+K9uvWNDpLvbylZkZELyWvy
eisW0FMMyktBK2I1Ma0O/h1ewpVNpYUjEzc4S+At5yf8FuCbTNAtLCJRZe6QvEAW55nc4SyP1yxF
QPo3RMjaVUqZW6eBXwKL29mcQ3zRD2a1YL0qhiep1H5EaX6bTcd66LjUvdAgVZMZZyvY6BIthbMK
p5EztAfPdCLYqRUI3xp5VzBUPRB/0hTLNP02kx9zmFqGWPxAJlbr8dGIcZxyk34kxNO+lfNaaYbh
R3leIWfOzENdIBGMYb/VGFYTLXz0eG+vhoTlT8LM44gkyx+FazFhLtQatWuz0dusxgptTXu+PhRm
o2SCvGLpIi6jSaWwlFutlfm5jPoj/+sHOWoM8QVK6HpkaYhGiG3+vSHbpZLJGUv8PuscfLEkoa3Y
f/Unjqe908824vtn1OEoJQAH+uxuihU1jLuPnSZe90RTrADfT4diIhcCqapLAO4OtaODqkYiTdPZ
7UDH07AikkXhrWXgrhmCGi+mUxBJHhIm1ee9RSaJ9Xnu2yWO3lyc6Jp5MmPtFKLQbhOYyQHAlDYB
CEEy57bTjNGP4rLZSvWZEltuwTWR7VOwP3Y3sudSwtbyBU0+pgP2Pe/oYn4396/uQckG2TY4ZvAI
vRbvBF2bDgyX9HsVYXgZ9exnqHerxBrqE5K6zRwH+aGX05dkJIGjG6oHZRnaurdagJbkTKZhZ67r
Gux6p8vvIeyolcMDzUY8vzaDegkn986hNl/cp852uqeo1Y5G36wnq8B80xXrpQNdkeBL2nZGUrLO
hnkdRCGkf83oYVvmclV7ffFOlWa8mXnwSCxbAP7cHsKu16+lW5GkIkynu4+R96KViPRUqMhqrExU
SaN3TW0JtQDt2BY49DEGirWalZVskR1iOIuRKrsRpuhIu5l5KHltyemK65R8dLD5s/fkkp1c5Zr7
znVgvr0OqNV4P5jSUNDR5f1ZXbZgrSM96fr7FJFnGZQCJZ6lvYQ4wu8ymj9ODZ2IG3qCRJ9jnRGB
RhWT59k+M8TLDPaD8L/Q9BuyARIXDkjWJwf0/NRl1ONqsrj2HGOtBj3ewsJfmRk5q5pY6NXcB6um
7tZyMtItMe/6Ohl+2YluwgzRskdq+ihkcjUWlbjpFYaIcWJjULnvtWt//QRgidp0aoh8Xy89hYXh
mWDh7p4ZyMXSWAc6GY7jQVe8noGt8ABr5TOCnocSCO+ocy+4TfYBTCnqGYuyCqk22vPRnxxe75KU
Cz/QkGBppvFe7f22F2d4y7RZcHHz12vDgcdOGE+41d0TVxdHLzI/uQycbDEVV5BrMapEX5Uz5Xdl
0ah0OpPTpj0GxVenb7P97CTRgjHAal3Aiw0IWI2jICE4pN0MvZ7e8yRdeTwCu1nWRD1WpbdrGvY/
XRBfiLfzaxSyZhirb1aUf1dTVJ0brYMgzxInCbUD0mB1lNoxDazFRMXSJrXdbNM3SbQBU3tTEt+r
ZS9U9SLvTykr9U2DyR1tffFONc6X9KYcN23LQBdowelHo/eqzKlbkndUMjf3cIrDw3imPttlZtft
Ab3nWycuGqgyNbbxOL3rNhFpc/6R66kjXlsvtiFWlpbumErzHMaU1cYQLz7SXdPp9broLGfdDcre
W+PngQr5BSXVJqWP2YBMq7HmZPneoUD3LfJv1vkM85HodmevRnTnQFwCXxUdc/48nS6ZM31M0Bas
uimALNO7h65qvQsq7z22Qkxg9h5XI5+y9B4heHu/pZeegdWrdbsLOIVmbyUzSU3sjXdVQaGikh7P
z+hJth6bkFv4ITcl5OgepYuUOcEnHkckGkRwlJlHBlEaAT0Wlg/tuH3G1FFPkOhjAVc8KNJTf44U
cx4WRt7RcYmtN+hm8An8IE6lvlWw8plNDBtC4Gsuwyv2nGNlmNpFhmxsZagD0Ft+sSo6ncDzap8E
pO9zyzB7bpez2TBu/5n92Boicqdltd7LRzskB6jqs+YyMryvLSM+4HH96kCH38cDHu8+xVGrHE1/
KjUm843fsJ7ZuYmTUEROCSuhYTghlMDqbBNEVwbhzpYILoRyPhNDDpWvYMZrXnWnLq6TjrlXRI+Q
WHY08tZOywgk6+EbbVwFcxBpGlAoxdGAyW7elqRXapYpNl1XQvxFDnUmjoIajLDNKEWBY7H5cUTy
zAFJDDAh275Ih/igS1YrFCoM6iqSowoIr//uzsXyWP95+5oI72hETdeDx/z6saf9C2PETO0dgaW5
QiS4GhZ6DZ53RL+OIEan0Ekn1LraFxHe4wLB+x0OXyj4Tr00X0GawEY+lQ8Asxcm9lVz0Az++6d0
3wxfFyPkol7id8ey9fqn7NiqSGWE7T1sk2EnhhHP+mRfyuBhqJTFOplLpgFUUYzdV6yP+S5P4JvJ
Hq92Z1DSaU2G31wvGz8LOgDOkp4BzPuhRASJ/YFIoUl/tOwhRNofL9bROSRJQKljBl4NTAXTGlpB
KGmWhw7nnmnBs+uG5tWcgVo0snsSA+hDC0cC4ocYgpOb89hLBhsEytI0tu2lmxJWWkZ4L5y42/IC
fs4tCsVCc1Ah6NdZBGc9GX80YoF5SuVuy4E5BsO0umSSVUW9eczYkMBUtZ6ytIwe5UA6U2fVN3ce
E0T6oCK6yVee8h4zA0ixaufq1AbB1aRQWKGrJbhJgM4H04PXp/rI2Lo6SNxa/DdFe0O36GzcmA4v
s6Y1/psY8FXY72BiwBbUbGM9AtnZRF72jkrsVcyRRZIGX67nOvhtF5/aa4laB1WToks0998DdR0P
4baNqw+1RKSduSQr1drgTzLTGF8TjDHU9SmDgCneiyEx3o5h2f9S2yyid1qm12OEXkrMHcx979rI
N8vk2LN+uXZGxzim6N2L7huxb2u7XYIy82SJBgu3mikH39YkaOqA2x5EYbTNCpbzuiMOgcrDi1AV
kxkWEq4t35v1GX+74F3GxjoqEKbtr4ftVmaMoiC6+m6kXsr63dX9vkZlKFO28WqYhV/kZuVLndBI
6ufLhILfi+30VHvhjkU4UMiAG6AD1O0LO1XMMbBaBAYMWsJDUDHiJG2wTXQUMrzbbAY51rqs3mo1
kyeVv/cs/OUrkMs3wAbhP3byP6vLcFJl49LZ3yfbxCCuCPdWVWr7TmbCO541Ar7i0PMnY053UXHt
xh95SOv07+Pmt9z4z0MRajbrPGRtixr5tXVQYmSxsgYbJcMgfd+iSlyzp/7cG/wNx/m8UxjCV/wR
OPLz7MJHz02KpJFnxM43AdCGSRicitLYRjjH36lV3qjuqDvZ9rArpVuyWQEvk8X/2rDErd1jPhH5
vQxSubEmvA1WYzLrU/NRzsDXVU9UBamr5tpGaUxBhXbGK810O5GctrZjJMioYMoDoIlwhX/FOOgp
m+0oD9WOC9P1+2oHPCjbkUy7SYkIOujteAxMwa1FH1knulg3kHhvyLiI3LNix++9cLV0U0EfNP7Y
6dt5bsU7s4w36Tu//+COzcIL6iKWj1e9x0TobNz2JpR8c3pB2nMICbLztchRx0RjoZ27jJI4hdHM
kd9wHUePWM2FAJn239kNS+BGbrJjHl/skmyGaSONTW1b9m6oPe0wgAbtcJinHIzMe7ZitvIrbL5x
LYkph4I8nvKkPCf4kJ+QBX1Q1IysRpsIPorahKGY8X85NesWAndUAMto1s3s5sbRS1FjRozH7JOq
IyhyCFzBcEf7KCmuQ1mSzOc5IZv43twScfYwkbI+zDO7GK+K3nm2nbdXKZZRIbG56Mvw+fdK+78e
nqmJ2iYi3OBuu2xKRqtDueh16RGVo7MShFv6lfsJcQHwSIsET6fZTyN0WZmS00ucebFOoQyqBS3S
OtwMtQtvr0EBsvJGgaiTedkqasLU15CNXkBC+Un2tVtEmkyuFy1a+WmMi89pR8qDFO4X0wnrfRU1
3UZLLAtVv8KrjJsJJm94IVQSA4wREDuouZsJjN0xJiVuTQXqnvspivwiIOWq5t+PUFIfq569IJT6
m4O/91ROwcvQYeWLnUoePSv95tTsBkJ3/JUoptZBnB6Fk8gtTlBzrRUlh9ow30ftAz7U9jiI+ZfS
TVLHtMb2sQylZ9W9qAkU9BAo/HGXkgblrIVMkqWRMb9qWvOdbwvtw5v6zLLJD2NIoGMdetPBMduj
3RxqjJLLiKcBrLWd28qf42g7eUApMkgCdqhFW7soyZrjn/Pix+TgzkH9yHL2VGn7gArvGTBkdOCa
9Xw3+DU6WfMyBMEHc6yTLfx0gAdJ9S1CbL1r8e1tShM4VKFInMIax7rYbeu9o0qDsslmGCv9vAWl
DYIG9/hErDcMqPMCWLhQODmtZe0xy/6siyF5GLLwBoUvPESgC84ZwszK7R+tzxAin01LybOJN8L3
minaFUwpV0vm9hBTA1ByImpb5o0Vyk1Ep5i50IKu8XJYpwGoENw+g2tXyz/QBxWtm+1yCTBaS616
NUf4uwvm9foIqkBMm44FzMUzCGfPGQ+takxR+0kQbrGsY3e5jvpiTNGW9TXwb7EoaoH4wVQhs8Rr
XNYZcnahOqXOqRDjL6yIBKGEyaecB7cwnS8Mk/SbQ+MXY1U85c6596Bg1mUub3OYPWVRk57IdqAq
81LSgmfnnCxOc7LEux2EhmMoyXfujdHcO4gRn20Rr2cHQD+eoejIDIn1vZ08mq5pnKUx7KoxXvV2
Fz3NFlaGbHpBALl2rP7MsLslSTGv3hlX/dYRvLoSgVZQolgm9vM3K+o6SPUOsntyD2394FJ3rBgb
YsrE/LTVIvta9QxzmB8HG9D2V8gXIzYZzkEEeOhyWwJ2Z+dEPrFHXm3vnYKgvxt2yqh/aN0VEHSg
ftZ0V3Y7nAoWAmSbAyQqGKBeFG9aXgb9IVoCCYzyy9CPFDJOvKmSZLwss4M0ZSwEm1WQDxxeGTEm
ay+i5db7ZqVZEbwukAlNSToTlUy0tyPHrwotPA8J6UyqLTr6HWHf2DwPqyr3nM2UlV8rYisvQcys
gyGxt8EOyzRc1L/+XWv8lgi9+mAlVzi6QMv8SwXXSg5P24rju5E75HGJWvkhNehR0VJw985rtxhN
jsP0YMayxGlqpgSHe2QCd9ZxxCIBh1YW0PmYqVfekQl5kgRPlHLhaTRxvmg59Psyzn9ECYEnlUjL
dx6Nv9TveFlRf3FMATXRX0Oe4ni0TaCD3T3qWLyFEzdAKPK91IJkW2ggWCThrHn1Uzj1RMYUxXP6
MXIn/Z3accl1fNXKsutGm4NiEUYp1qQ/yyKVBw6CZdmiFkp/VV/t2qtoCD3Qxj07UjfYjrGDLcFm
DSRH4cth5cwBDrqqRZDcmS+jx/rA0asYJcPA5IYlhx1aoIECVqiBxRq1yJI1YU+MEnggCqYshyrg
kFjMCIlIyCGcbaQYTY5xZMovRWvtyh55Sl5ypvz7sfmLZITGibQqakwyH990xAVz19yc+vZeZ3OF
hchYh2ZMkLuNxx++w2aQ5UAGdGtulvIQLgLD0UC805e/yoVdWjdbZ+3KytVkeP9mFIriURohl+1d
Gyy2msnnxAPMmWjVJU/c8BhUV4F3YDsUfeV79QArKGNE6HkVjPt82Nn2eFYecrNYTT90vWSYZmtU
Q0QmUWjeBEgRy2kGlhp2sO8SwJktOR/6/JCYA+fzaJ1veE7cEzXEw5Ag12yM/uYRC3BCR/7SNuHH
mhS8F901HxYb5DSPxTXBmsw26oPXTcLX+MbxCGinLO72+HT6ddmZXwe8z2Ddhp01NuYuMuiIXIqP
VYMREKLWiKuU82ZupiuIOPQqyu9jNpN1hagcp3YLRIJDztp0Q9Ic2d6IdW9WZFa6mKLbSt9VVX+v
A/2hqKbmIRiNeCWbESiATB8cJD6sO4v96P349xPzl4WDbZiW1KklmfbwN3++HrM15C7S7OKuiV/j
guNJBw7wZCQFMEU1tNItYEOtsOYbGPOdxh4lCJbLvIORGJg/k8B0d3aDL9FK2xO8qo9Qeq4kiVV+
Z5NRx9b1OA6adn/nx37tmuYR411GY8kR45qkIf/5YzMQbae5cPJ7VznJPtb0cdeIkU87Rc8dth6o
Sd3aMdA9yXxkQZSX8jT1nOBQkIwqv7Zm/eS0UbfqHVts9ML9ak71qS7MH2qutXdeiL+M09i0InVh
pMEIGRfXq5+287JRK4kxGCssiHbK5wrNIt+Gqvrp5a27ZaSuVrk3XxhzsVCezPnY1MOPTNa5n5kD
S9KYeIcUgvMwFgamIqNbV7Z6b/30l3E3FCJGasw4XRSEr3/Q0GBSYeEduIdVla3yQge8IHVsEpLI
x7IZQc3WPUllHxmYTQdMR/O6C65tAhI4Sh5a03ue+6x4ZPZRjjsjiJPbEGy0zE2f/4+yM2luW0mj
7C9CBBJzbkFwJkVRtizbG4RHzFNiSAC/vg/Vmy67ohxdixdR4VclCwQzv+Hecwdl3Jo8vwVkDzyj
84OKkcXzoUcirbjcqHRPXZ0Qlmg3r0lnDR8dcqJGaZ8IktFHd8ovQefomwftFFIXlU83pfsUWMnn
PFVh4NvrcxHkn3VqGLtxrRS8PpqVVswbL06KbR2L8h+f6t+iffkYRqBQ9hF+ojP542apqK/bxTWN
e6BsbG6Fobb5aldRMBLx9CPzUyuCNUCOjNpaVfBWU7lt8tSMj1i4stBg5YgRH7UE5JPtSLl/U1X7
Kov+CBw9+8c1+LcilL8ss3WE4Y/7WPyp15ilL5QTVwaz6cxhU973G8LM91YlCwKUaagCIS6ufGPB
y8YTURA48ICrcAWipUa5c4L17X9/h+2/vsOPv5IboAh93BN/oZgS+qnVUV58By5UbwMT2D7R6/tm
DrqL7b86TpVxMookSicLp/pYXlNI3Oucw69r9kL5cM9q7RxJ8RNhoAsjYlVFC4YwA5POmtCzrOY2
GIXaJJVxrCadn5p1IoMgSKBaVaDnZOrd2MCUe7tS7v93BYQ/Qng8atJPTO+vCaZwVSrXqTXuOcfu
Lhji9QPKin1X5etTPLH5LLLzspTZptZYwFOGCAiExqOfu/8YDb0f4v9RTfI34Q11JMAOl1f2jzd1
TWudu3Vp3At4yBSuhCLgu914wN/280jx1aXtenARnPtGt5IeQH6b0ZN+m3/yFpJZFgIWucgM0Pm2
T7DBOH0nLOYYK5a5K3quLIFz/XleSyKQqDibBSnv3FpArwFvNDmz+aG/0yb9Apnv7nSut5mZmlid
RqAhQwUWWedG5NffTYWJSw7fayDmm075w3ZUMKW6HomgIPukaquDyYpy01r9ARMtRINxiVpix+YG
wkOfGUQ3JGayK0V97TW9X6cjtKkTsq0qgQGFPBYt2+v/fpMDju+/Hm+A4Z0NYUDy2OPP/5/hCV7h
AUtbH98H4Y1RY8JM6ww/MjLFrrtN0qNrWkxIjPofIgnn8bn95w/2+I/Jzh3TKZLBP+4V21RVagSL
cRcEPoTgmZ6YLa3n0T0XWbecDTgmkafTj6Kt7zLxCO2orStRPdvOG4ujeGR7jMHvuErg3fru735Z
7cjOyL7syJZ5ElZ7nBP9CJPLQ22zgvWxz0/yRHVH7kzNAqoEjRmmZYL2d/He29JdXaUbBMDzGfot
8Y8mDS9mY045mwYd4PuxrShyhho19RoYbZS4RFLnDemFTdA+233+j2PmfT7/x0PigObsA/fquH/N
RdsJn9q4xvJel4KQS4NQYjN4XdAxUfo7O8z/8wWjN8M+WPRe8rssFuYm9dBsrTog7wwBxhHsL3Jz
jyAh0cuGl23mDVel++yCuEo9gEFIBaddV3nIhha9mUk02feJXe+hA33QQ3zIc1F/jC2w7XNztkvI
WUyG+5vpt8fKm4O9JVFBoh+QMFnWMFe9z1po/scL81+OXLYCwBlch00sbcIfb6pPNqfSiSnvgmmR
RwPyAEtDOSuZV4wzvvcs/oD9/lNjzu5z7JTct/EvSGVupKFunYe32mL5bwQtwUJd9auXpROBKC42
LTiVe6/EB1xbz65cFTQuPOjFZF6Td9bP9JUgsZ2V2bwmaBL/cReDA/n7qwD5jlvYtG3uuD+/Ct6U
ZzK2O6iCBSd8hgstGnspdnY3kFwSokibomQijBYXhxP6s/XVnTXWxMDDS6x7j1Yg2cbDJ9umLe3i
hsyUghJXDyX35NTsGtWRvZhaH93FtD9CHqBQc8GBo8BHUd9FVqnNsyLBNU59wfzf6g6Q7stn185v
9I2hz7rgYraFAjGqmrv4gqoxueVW/BHnJ0vJVNzRGoB8eWBjee8GAi9MsR95fZwmm2iKUtIiMse4
vsQJrkdZo15UQbLFOfCc1yomgcr7ghw3f0kQkeiCb6BlEDEEXQsgFdqp1MkuuMjbqagPllF1YdOI
L8hMzINYOnBHg/nDxi27tWvDPAFHOC8u45xO7GXc97eE+3uXVhlhLStxEwXif1ocjGzl8BEd4Bus
KlCkmnXTqFxvnznwLNy8+zx7BND37XJxWqU2CpLXIFZ0ZpOWr2XcRQkUgHEs4s+CrbfRGvYjt178
4yr+ax+GfJxFIotitMDyr82NysDnZ00A7M1TM1t+v9/HK4ZcyRVBagZrrL41/8Hp9f6SjqCKxvPi
USM6/2U7bY0guJdi8e9azmmEY7bbSxV/aeavs8d42uUqKqFPlkZv3V8MB081a9vp6pRozpwB9WJc
aRM5COiJCZlpOKjUfYXpEQF9DnkdcPRmS3aOreoHm8b8xvL93Dl2uqlTO0atAENhto2fY83tmPbC
eXKS4NlviKysGBBtVoPZ6rj4J0y0BdmSRYmtkU8deszA1O1pyJ3pgHa8Bhzdf1774LsS4PBGHA/b
RddkF5KTc1WIOXdDKWFj6W8M1srzOJF8MnZSXdfAfV3tN2RhBfUtjZmWtDNDSi0BCPUGusjfuoKD
Dt7BizkvPsMK8YzzP8Pip+U/3oG/13d8Hqw40PK4HrvcP/djfTXjmsqVf2/AzKWAkc5rX98RKnTh
2JTJywDiKJcsMWM9/q5adQV29byaPdqHts2PdeHcK3/cDK7j/ONV+Xtsw1+Nmb0XwPxg7/2nIMuJ
UQ/zRx6e6O0AYXY/BJPcAFm0DnNYU9uiDy8BunZAxd/Lin89G/vv0xOdB6SOdw4+prr/rGBEnRkc
MpV351bHJE72TsSWcb+603cDOuhJaffH9FBkp61oDiwSJfbd/nnMRcbYX/1jv2H/l8NcYsJiXkcb
KsSf9artl9a45LV3n+GKEiQD6UKWXnIFtH4NYlqqeAwUWqgK5YHpzeSNixoV6tyFRvVI+8zHY6VJ
XeObgve/AJixzm8zvdiTMOJgY4w3v1jJUHLddQ8ShQhOc4SVPGMiXSfkbkHdfnkX9NSKQZ2I8d1n
hSr/cRu/SwL/qExAz3sYPdA3ILT5o3wbNKhZPTnufUqJd3MQs6WIOTdlk0Lxshz6XHczjVwZLJxS
7k44Jwn5803vMIOMp4cBjPfBG8CyrmkC0/FDQr7Tpy4FpmtV58Ik5i+XdkcIYJ8TwAVFo/Gpu0vR
EeXhy5OTOPjnx/R3zxuAzI61Hh0skcUJkCRCmOAqd8NJxf2elBqSilfMi/yClNQxIQdEqaLEys2d
l7MMzZiQ2iDo93CnH7dO5I2pGQU9i9KqrK5cq/0pn6p/TDz/9hHx1WH1wBoSx4wDb+Y/39xa1V0h
sta9LykaizzPTu/3ej0N6aG0qi+68CdQkMhWEFSZQnwN6pQQyMK4EqUFAtYEo+o78ZM15QESdPXb
Th1x4lLqWB/PiaPRRGCPe0TqcbltlVINDQxuBFt+SLl10aXSfAoRmVVT7prHB4JkrNnIfIHDgjs/
gG7I99bdFlWQExN7R8ZFVCt4TFSuyMzHLvjXGOe/XHfSYzXowNN7+Af/eCZ2rifXyVC/UVcGsHe3
E95zbI4F6I3AIvcrs//xKou/9sd8DPw0GnkQ5u5fhSX4fbQXynXvbpBlzGXKaev2Rwc7vy8/jA6D
davQCYjZn+XicuM7oo7g4CILNJPPrF9YBxCt/L/bsv9W7aJvZbLpcOwLJm//+W6UXuD0ZDO5d2vk
VO852WxXUmXH9isTjiJUTT+hDnDibbuwgCfTaG+boTVnflQVNfzN/HmszcirGyNyvWnceL0MSGDY
aYb6QIQiLCPNvp7vNLTE5DUXHP8+Mu27JGl1mgQmnlS7/+CZ/W3k41GzWWHsJG1+rz/1SPWUWMvg
Fe6dm1bsRIf5xXWutUG89UO7EjIJIDTXn5udaNa3Xk5fUGyPIR3Qiz3/a+OAvvvvMQ7P91FxY2DB
u/bnoieQes1ce3DviPOjSi7GaXaMy9CNqBwzX2+9QSYvFWKQYhh2Qzft12b+EaQlGnsp612ny6us
k2IzLXW+AW7ZnYklu1tudsuHej7W2VPna2BrY+U/qDPjm8JikdfiGls2DQrijcgpiubChkVTFlch
gl3oXg+J2Divz1ZpytDvMIsk+YhQKKAOy+z5xdbsl71SXSRMJj+RwdYcZYurNf+JxEED0ISJzx2S
KShwOmsifrS3wUx7NZHfhrEI8M1M/EhG1GzGE+YlBjaNjUVUI60hKTeW2+8B7kMsa9PmyEQ12erS
QiBhLnh0g+Vokg2rZ+BMhcMWeq4IDFG4LjJUxSccy/jAmmVnri6j1FwiXgf7yqN5DBY6vtdlepCp
ItUyK8r9ACV6fRADunYgo2d4titzuk6D+x3XXbt/5DBFTdyjlprtX30ywbo3yuY0uDWtfdoRC1aw
wJr9DRkW+tKhCQXtDvZIypU+cRQRC2CXON0MnAKnVgjs0uBwN1hsMUQ6aIFh13ArxEYy/sjPiKg4
eZhOqQ8I+faBInd9TVcDB4bo9102nZGSsoHKPP956q7KqV7pyv2zrBU8ys7bjlVXgq0uzmae1Dsi
Y3hBDFgxVdo0m85uytNQlJgfEuGDm22crf05Tt6W2H2xRv6Pc6Yt0Si3FYTrn1L/shhjNF7dPy+K
LTtqrXsjGjvKHaLdkokvDX6gL0227NN1OUpzvNR5bB4eu1F79Rdq3YdCYiPmoPrq06iUErejMoZH
Ei8wxcHyoW7NWdSIwTo/Emd2deye2zk3WPN1aPpz/ZF4kfKwTNVttfIkdJ34uWxzZz+jwt0GXXHw
F1xTvurcLZT3hVq4AoFSk3JZF1/G7tW1v/VxnH1Q6LwIWsJRhk4rRL3Xfs1KYe2kqzgJSL2HL6hp
Cx2+JWmP9SpOzBaeO1JiOUOImFBzRvji8tZ+a0s+YwCBG912/jWPkTWkxDhZRumFZlYggp0Ir6pT
PiL/Lejn4DLk9Rfi8eRmNnS1i23r95QuyGTM/hsK4e4wN9PPtcUhVhRwvyT3bAQtm2VQnNa7Bv19
OJFjejDRQO75pkFjizdj3pHoWSyHOG2maFDTTSrURDl6/jvqSxuHtPtrLvgtHOg9W6aL+KcCRM9l
6W71IOyH0ETs45dRqmZDnZ+8jMtw8kvf39qCdU8QFRX8VVF0/nMGeDLsrGk3AZe4JuQfhx3dzNYt
vC2FWnWsBu+Jjyx5cc3sKmROr6X7AQOQSTSvtKN3MQJBfgZXFu5to+mrgzGU34Sn9XYNrDISNu/p
YJWhU4FSHKFi8Ut3D0ld3GN/qR8OChVyjrdPwTi3R5gfNZvRMQrsdfkiR86fxr8GwbwPVvBUK2Et
W4Rs+tYuDWp3J11ZpjJMSwLzpW9MB7ypNk9u3/UbT/XjBtKudVoC+ktHOID2Jv2NKrna9drCraYJ
4miVjM9dFUmVVjdpxSX6Pt6UxJtROshYHqSOOUVYGpBcWT5CZgyg8FV3SIPWAqUNVgh02rfWydnB
ZLVJ6k6/RE2etKfh+wJWBkgjVtVC6m+56/W7xn3wylC+dLO8pomzdcAtnkF2EWKUdttgxkjV8nKe
F+2vrMZazpvK9DcItNsoyCx7X6w+yYmP4eOQf7bhAZ/Tpmx3to+kkd39EgrUeBFNw9skTONYNiQF
Nms17zw7ebIeAXXQ3zRnL0uZZrZ+eGvZAqh3f9vo0i/lMqe7ttJcD6PxzW5YbhaTN7JWijXE1bCf
rbcCLzYcALFp3UZcVa8P7/Iz3+1eeg+e4JASwJ0lJek7ooB4Zpcbv1EijCn+N7gQqlB2XX/3Z+az
j7fUba9o7vC4WjE+4bI/xTNpRk3vkU4eL/3Vn2BypMu+zPpqxxCH1jt1HsnHZ2to5qN2Ob6sJinB
COU3EnhZdDGZPnaNZR7cRLxZZdCdmhH4sVkSVMiK+RRYVX5pZvVhMLXDj4ov9gSftVZtug2IAol8
wfP2e0rToG1/ThNROOSA/jB8SlTQaoj+hMoj7A+QqYMORrXLekjVDvOsQoZ5D4dNMHm7lQR/hNJe
2IPN7zdJWyAhLtfDgHJlIH5hm/p+ewlgPJIAvTR4C+tuC6ETm2VKyV328XwKRnD4cT9fFjoY6DQf
AiTaNzlyhi2gdDaPD5vQOzDPnie3Rj/9IN0YGuDaXtasus96GbbVBHjVwIiykwy0J0N1rF/gVRtG
shvMcUKGWWW7vrKS7UPjTVGv0mjRyNpcuwAoOTZHQQNxsbrcxNWMNshlX9ZMRnuAqdvuCJh+WRvJ
4/OLr3bFqKb3jcikAr+AgXlK5mlPAAWBXWuH1ilPn0sYDJtgJdPM6zImqQM4y6CB8MFa0FoUilov
DzvXe7JFaR4rIU6VN5Lqa1jnhZlIJBeXmBe3O9F6z7eyaw4L/e1utOBEG7bM9pRS1dbIBw0W0ig2
xeicW5KuL4y6ebgBBMmkJPyJvCRqGV1c3AVEWrtmYpuXEPD81brFKkA2Vs4O4Dojxm3k/cARLU9p
h6kH5cWZMLnxAN3nJo1UnFY+g8OiA2R1vd9cfLvtnqaiQFYsY2NjMe5/LONdJOWi3RvCeXvXadZC
L0dDMPtX8EC205wMp8b4kQMJvTSt9TYVrUkEm7OERTFQ2ph0nlmW7Nm1cEIYVntoitlgBCZC+aSV
7b3EgXu0rUZfBTAHGmVUg2Bef5ld7Dx11gdSfvtzRx1yWRONTA3o2GRZxmHouxdgpflZuzGEQeO+
PoLcl8k74ekCJtu0bhiXqbHpKvz5fruOFz9dv6Te2O7f/5vpf2KWtxzbVOxnnCont2tfHN6pXTUs
1imwi3Nbte1RAEc4EPR6jYHYnUsXGmmrGx5Opk7OQs7wlPF6kr/8MyiItM3N5DdJTFYUm8CTPZQ0
UZMxpqI4/Coq+WUkdnab5519S8cg2zQp6KX3i2PmjLKm8jFpy4wIbrh/TcefiQUWoJOtGSpySo58
Z6/4J18z5K5hMfKBDyku+6ItMVNyJVG1JokFd2WCJQ1X7uDbwx2Y6Pvf3TFqm/LQwPyzZN7WIER5
V9nYMhxrvXaUsSpxwy6PrSP4o/wyPu4pXvwDtn3v+A7tkaUJxXAYwS6Mdgl+pTH45pokA3AW9POM
o5Dqpfb7Yw0t0HKglWWyaABc1w+tPQPifOhe0GF5Jy9lqO2VmJWtvI+aVE8n00xY8znddC279ISB
R91cKLCdnuoPOrU2U+M0W8MzqbDT2ji09aoYZxndFudaht6iLHBqQSM12KO15q7PeDyx6xOfLbZM
mgfqz/tcZv7RyFOiWgZ7CbOkT/d9p47sgdztOjIQUNae1AN4aqvF2Tg735sl58pF+2F3GI/bQlJ6
C3zZOT8VpPjw3RmcYYMO+0viJMDtDL4hspDnhWbvspo1xMiO7UtfL9d+smxWi5b5tDjPceCPt9FM
hnPjzGdzcpAJJsPHuK2xv3b8I/Zc5mH+h4rN235As8Ab/ZgtU7nDfLb4oePEbzcDOL8sZAJtk9ig
D7ZrtjylEASVrs/N0rCc4Gqn2pjrnaGDLrRQyl6oOAjhgdq7CKgpUp+ndahOmhiADSEdy9aKqWOS
4SbZQUe9OX+Pk27ex5Nbhfqxc7Hz3g+10rzjrgkuSFc31XsvjxXI1cBZE77/w089HzcTCVyYK8UW
byEhCDJ+Gh+wACNWZzBDtAQeUqzMxCHX2RuhwXws2kJr09vuEScZDF6br7W3tmE3gQ80PfWRtQ4R
nDWk64BRX5abn/jJzVnqnsXO8IgjLe1NulQ1E/WUIA7px5ua8AIrIbeA0GcSLmR6wPxihPD8WLxU
Xx0Z5aWyOWdkGbp2eWRivIQWD35H5OMt5SGe08Iqt2PuPTOoVtfJkQKNwmKF3PjBZU2bawrVhTK8
/uKL5HsVjnjgwKI2n4t2IhtYpm24KsBn0u0Z9F0yhcret6rmSZmM2eY1iezuGzqYPrSctj2JRFN5
gzT3y+I6efqLFMN7Hssjm73L9618bOmmuNk2hCVH3ayIk1uo0V16Cei/3gk72fQEKCMJp0wQ51s2
LWsdLvxsxdzqEa23GxKugGXEkeppr/6sq+pqqZBK79Y6I+Ps0WbvP/2aGN2KZhS/BsY/M8vATdFj
Mk3cPD3kVmJAhxxe0inxztk6ZWSy25t4qd1wQVBtNNyosaRKz/Lgxg/dt0K75y6mLK1KXpa6lvWz
V/FKwU02t57FhZcj+SQqD2ayzPtvdF8xhGJvRrxtHJ1pfHUXT+0KgFWbVrS4Ts32lKc16qd+urVJ
n9whig0RGgSTizX/OHbgd9vJgQo0iermJ3TVnsWnwqw6iOxKWhv83OYOtROIsMSdADLUBLbPyBZs
sYqDtDAUDtI95B69bOqrq5UH1ltHpZW6zU4ZhXWRlIZPegBEEss69LkjXzUCV9r3ny0Grl+a8QDF
fhrNTcDbEXAuDCwBj8MDW9MJhrK52Pa+VC+tNe66Rsudbh0C/LqVwewsXnrjkfLodW/0E9PVJWwL
704L+0AHSZSYtcVyPKChDUgXrCzn66JtscdDJiP+h8uGpoaxizNkm/cQJsY/RApMrIWzB7PY8UgZ
JaSx3nO2sSkvbGdfEci4zUck4qrKDjKf6jMjxUittL+g6tkrWv4+pbRFwqymU0Vi42b0JrWdyvRk
oZq9gKhb9op2ewRuwfSHHgqK186UjbHxjYzM2tmr9zGrjE2VZzG8Fqc8lAR0bMjnRheyWMMxNrqL
QiO9KQNreraCJzu1+ptPFPrZV+rCGrbZCsImVPIzzan5em0ifxllflXJ0Q4u3bSa6LRq5iFSXF1R
mzvTHzngCO5Z0nV+YgIQh1axjARH5ZF81J95Ypg3TiQsxIU/b8k34RdOFPpJN9iVc8PtkC/kis5i
ObrEDRBAwmVlG9nerppkp0gY3bSUlDAsxZ1fID30VAkHVHVfxtjpn+1ORYrJ+8UK1C+sUMurrABe
Fe2+eNREglThmRYItPrqfDBo3qOkiu/CMRnXDKa4T9PA+z9AtHgHeQL2WTazLyfG9ZjXvNj5OY7Y
amuWchu1Pkgagt3pzGLxufHBOTl96W/9ePmdBbnc1rpdty4a+p2v+CRqXZGzkI39U8Mwqm8mL0xx
DewXVqPR4MBGyPv0bWDnaK7iwdYDUo3FzYejaD7nmUGpIsruhiOFKV2ppj0p9zzjgZl+Sri1N7Hz
8ef8o+d+HrHObwgdUDsMlm+1Ew9XbN4/UJ/t2fHoexG/YcwArV6jwvaIU0z5E5mSeGd6y++kdWc8
Qday7QAkTpSzd5Qv80re01Bbb41DT2CJV5OMQszrU8V832mX5cn72nhedRBdNh8ImS1Y5cs9vKv5
DiNEv/hNrY/s15eTkRSR4yfZTizJw8n0RRGy85S3Q7NPu/oHM0z7rPr460Cw+He8eV3oUZ2djD6e
dqZ9c8nSfB57b7koJS8I54b7KIutqAkucEvfC9fGMd9ipCayMuyLZVnXxYJdXa2PpDaUrmlcNxe5
goqustRDdZlS4yRZux9w8LMfngmnBjC8tn28VWa8kF9tE7rilVEb48XJgDRETmZ+ePd3lWlkwlPc
ItSSodsF36oFKbUm43ihsU7S6Xese0CBsz3tMY8gAy2Aq7PoDZNipcpoDR9v0q7VKrsOYIRmCsWN
BSHi0i4ESLVt8tmIe+Po+Y82s/Xdo8ZdBhMpMM9A/RYYKlevKTcdBfWTk4KGRxWS78y8fU4Jayc4
Awo3eoDXda5+DQO/FxAJPPPQ45hqyH05JbuK2XwX+1M4TQgcDIPcvvRJyyFlGz8d3Nxqb8h7ytCS
4z5lEHRhwtZs6GpqpOcZu1CvxTBuMIJFH62vbtBC8KJKGRm/jaC3GtMDZokYgqi+XTcm+oze4C3P
+i4CrqdWE1vQo/K3biCDzxCUyRJP/DtIqhrfnfwkZownnm8W16Gr3KOzDB80v8Vt9RAHdHkBOxGt
8j6u2HKmo8Jct9blwesTJLdN82prfFBVBip6Ts3npqVXxBrj0Hj6KKM9XW7slY1WkK4UTXnJDHmZ
v3NDutexuK6IDTYKlxf8mTljVEMCXzLYKAWr2QfIjjnGzAHL8obD9SQ8ti/DAAKCGlc8fSInSciJ
ed3nibLIjY9T7If5YnPC+mwrSdiJo0njGpa5zyCwEkSAalT8S8a4q832zZSWfNj+zBVAWiWg9SSU
jOdOMUEhQBTYL5DWJnDD7Dpes6Vl01TOAQUOUF/ib5tt0aMiJTIXU9xQ9rtimUwayHo8jmK1Af5P
GrEEph/6AtY76RPSgZWOKUl2OuFDbBri3wdZfCgGu946GBl7bRfHdW2ABfgMHZxWnkd/7KO48Dku
x3LdjxCg63Z9aviJkesTL0X+NgIwRhh0CY8rdcRGstdQpPzCpJxzZ+I6aoIk5xy7E+rxb+0Cegvz
pHHMpCDswWXDXdB6hI5uLqB2yYZFXBjYSj+roSsPLO3JUmTGvffG4UMRx8ZZDnZyf2+x7UE9UAB8
XQytmJC5ZX0fXJgXrT3skcTwRA3rBXI/DtWR3YZIfdKv1LxGGEX9qNcp2OTFsXGnqWE/5hyFGckU
5DsCBgb7ceXL/6mtip0x2CRIkhXKqLo4aud3YUPvsPU3RJFuRDhE9kS3Ou/eWz/XJ7e2bzNI2/Di
wmkp5I3uf9+6HagSkD0RX3mQE416tpfgR2zFBU9ceJ9NYhjm+sXoaYIDXBMhaIr0WFrzD9NqinM9
4/jODdfZkaj2CYOHfYn1D+U7DZHSLrvpikSD4DGwmEB0MCS1sHiaZfec0DghtlOr+4RjadjlhK4x
dCQtJff8z1JL6OqDQqo39yx4m47lB9PDsze7wzYhgZ2GrAaIUJdv2XpoFnd4XiBBHO2l/GkymNj4
0IYwVkNbjheV3FSGqB7ztHdohwnyqLNuqW4bGlCTlN5m7cN6roMnh7F2i/R/B3TVpJiHu5Xp5rhi
j2Odr8ZL6gRPYl3rTdzRp069te6KggwbeP9RW9iwxOrz4pP+TPpIlMfNYarkq+e1mHbVOv9f52pL
8I+auDvExKs4dASIE/6RsRECT06UHV8G8WyLDAeuJOo2bw2uSAEBU3KV5D6qdyjSTwpWycFwO77l
YvzMfc7x2zpwAIzyLubWIw5J+wdtPID21u795aWMHvx+vBJ+sTda5wGzXt0zuCBv23pLlOXC/lKt
/o1/qd3CgIVojy4q9EboNVVA0O7wmkMGOgciSMOl8SNXD+nWZjwNvW9qLiodsIUyZbfZaTDpW1YG
Ifln7MIjWVAwgyRWBsLhN7OgtFc1Ai3UTTqKbf/g4OUlCGWo9ipOWJgxVDn40zzy3BZsiJ5gv0nc
mGGUvxSUn2NtLp8H0wxeOKXYbOV71KjOkT2q3ox88ZhfFURiE5PHVJ1g5mI0NqtLPO9sVGVEDuUE
b0y5e3i1Dp3FxYf6g1jO+dj41RIuLHMPQhRXb7F/Q29oIqdvx23QWzOsa9ODfP5bkwqX1B7pLqQE
biixd4oV6SdQDa9L4OfX3kfkAd79pOaKSOkSFF8sbQ6PiSRXK53TfSW9mAz7FR+CuAVx+TEAlnxW
sG1I10l/TE3bR5b70AGxz8rM7km5jONtjxl/3lN9lyroNsqXYELK/DJovz3UMSxsurjiVDA7xIjI
Ga8eISpQ5h7Op8yNJnqrsO/n9Gq31QWV81kq2eyrlOy/MgaQstStfc/b+Bv79hY20sWTpMu8T4O6
GRssaB65wfGgLwWP0k0dcDyuWjcGevxoaoR5wKHxbc4hkDrdPua82RcZAW89Pn1adjhuXqGpWByv
2ZBW1p8rSnhKkY5rNxupjjr4xYaFyL3sACEsDVifVY7dSRWgEp0pZTjhkDlaOXOLqCZUM3mdDpvv
HYm/0Px40qd6GG1MubBiKihZOOHrNTR7nZyU8L51BPQehkAgUDJslhnwdtmXSOKbp6/OOmYP/dP3
hHiFSZvGnnKjO2UFNlbNQuY+rWV9ST41nc+1K34Pzm+AfOaLsOlH827kk1ow32AD/coefTzoYgKt
qJaLv9iQMLMZ6K03/KT215uGliwyUTzEhvMFO901dn+29TAROkWBWwX+AcEeO0s5O4j4upKXNDt3
bT1/kCav0YadS/0k02oGU88BM1vTg004c7fM4zWmSy0WDT61nLd5J1yStHSUrK3eUKcrKmD7OzIh
Pu5sCZ6soGOim000xUzFyhwird8p5nafqsCacX53LgbgXO2siWGPMUuiYwOcVU1df23nVkUTc6AF
SveSjuVWYLmxhpQ4vwKDprdm+vxQKHlNtdPehFVMGf0ub723rGV6ZgEQ5QJZwqYPvg0N5Pp4kbvF
HJ98AKCf25P2ID7o2Jm27zo5FGrkIU8whtuKzOzFVFQjTrtlo/vR09jJxWTtR+ARG526xf7/EHZe
y40ra5N9IkQABX9L70lJlOsbRBsJtuBd4en/Be4902fORMzcMETTlJoGqMovc6UR+sC7df+nYeXt
KZh4n5ok1tdTcCnm/CAGVv7HoClWpUbJ+ihK/YqrdjFzU1dTH4I+T5sfXaxnQGcJHna4e33qGymK
G3aweDpmSYJ6J8USn1Eci8g+onICa+mCmDIwYFo1F6Wg+oTe5H6pRv8b/vS0hvwMDb7KvsAsvA/6
tTNdl28oTFy+xIIvfN/zNfWTbSb7vRnXLEZE9wzQHvQYJSELUZ/DbsBfIDz2X22js5+tSe2U0GVU
Hv5O55KBzGDx6D8amh30/glgXD5Psol5MQNT2ZMr/D/Uq7zH7RitJausWmnrlZdM7drMgr0vAXo1
OgGFOhq0e2Fjep5mGkBykh7zuCqjMFqfwoOWPuFV5pSZV/HB876baEYJBuPvCjBrlVk3Wbgppdgp
C0MNNj6xTMK7f6zUJIUWyGJLT9gPc0yf2a/lOy+x2tUQWW++ijmnmnCZenhrK4coyDrs4Rokdkgb
XCKLo1UwYktL7yiabyCF4VYfOYjpVVlgfvLV1jOqZ7PHiOKDX9lN5PePAansxRjwuQaj9RrG1LOZ
RDcWLTPcxcNdP3WFsaGuhjTo7HSZj+W6HHWyO4wsfVByGBZdJPbpKApG5WGXxmDF4arbjNZvMc4H
a+yuyZBR9Snte4ZciZOwo/ZwRqt7JWZujfHrxq40h8n1MO1SEV2iJjBv2NtYNtV5cJz6GilIV7Rl
xRwRmp5wq1665mLUTO2a2pIUUARLN0rPCiTWTubU90m31t/tQr5Enk36YwpvoYFIqEWs9ToaECe3
zFDczXg/6RxxY2pPlw6/c/Ww4NfUFhHu6VHWu3GfVbG/yhiSLCBhI8Cy5tk5RWCzqO3GdZ6bOz1v
zef4Ss/JU9v69cX1snXh2oKKnPDTKjVjJaaIwtv8ImvKGfmWT0uFYaVkLnx0owDlKlXM4Uq6n5n3
Y/9zjyR+7UMfApyo8Hwg2WmvQWP+EV57rftKbTjKsstrau9utmTJylpbhhanltzujIWq+3ZrSOfi
BEH1Rzof06Dl79rL4Dt8ryLrD998gKNR7It9VsZPrkewhBbyRzAFn9Nb4xxN3PyZO+Y/LD7Aq3pP
U0S7D5Gl12ZBcpWyI/ppGraVGlUoQwtrBG91Gft8Uue0kWYs00oxnddaC8tsGXFKGC9dTlwlS70f
9PMGK97P9wpvF+pxQnZp0c2hq8dHTQtH5tRBtO2xLL9VU4KHjH7eBXyogU0J5eZpHzyN5aSReZi7
B6l1YkmxcApnWMVYDlEkicdTyH4P07Y/sPh40nTlrmPKoXWvotbJtKggoYF7Y9vBR4Yus26oQeIY
NXNWU8G6tc6yvXCTHQc9Ntxu1x9DyquWjRWaDIf7tRfm2cYOg3SbOM4riYRgbTgjs0K2VcvAnLx9
Zqi78nzKh0ISIKNurDlz5Auo80x+gumk+c55VJKhjoSNGinngmWVsH/vDXjOVH3IYptFB8hH9iQR
WGMCuqY3XvEhtfcyDM6CMgK8ZWN2NLK4OHRCS5ZGau2ixqk/cxtZeeqtF4HGfUC6letq7Mcl4Vu1
zJs+e360TEpKguzSostYldUa54ONY4RTufUDTjBTGPbQaxNfzyGs/UNHsuAJZ7+uutfIH/JrwH5e
V/XZE0Wx77WGtXXdsIfGEFQFE40KLKaWbttkZ8cKyXOOHnDwQrbXQOzwqHLwrwtvZTQURYHdbq9G
o35OhRh2XbcZfF0gitDD0TjZpWyR6xkAkFBKIEBTdTguqoylMgbqZu32n4AVxPPkEEmRUbksqc5j
MljYO01jWtgEOTgU6yYoTdiBkdYXej1bJPDOufs0jW+BRsVj1NfDxmw0cTFY8LDDsLxlrFM5GFrn
Ci/2sQM2s+jbdh8HJR4+lmCrpFf+Ng85XtHZ3OLuXzS2XezyHP2hMAYwjiMYAFvHztT/tOLceFUN
Oi+bD/h3ZK/NlzT78HHm3iwZOjQfNGivMFv7Wjcv8BLAU0i72jhGWYKxj3adTfWmtMMNocafGpVt
V9I5epmoCynbY+MCsNG16J6St7rq80vqGeUx8tisebncE2AcL9MgLpCerEOV0mWfTMWG9ZpxGlxn
leV0MbjaMC1TUj47ei8pZArQAKWlm7REAMpNYR0tkKhA8kXyAIXlHPu9v085BEmz0tdtRHeTQJ+G
QCU+mknFe+rPqjU12RT35CmnOQvD9qBP/lNjne2SEQjjdXaCifUFK7dYFbT/MVio+6WjKTSHMVPg
eS25wUu4pw2IFjm93dsax+S0qO6EXTdOJRSfk/Q1KVlUBr2U9HDUy8Jv/+iZepN6S9eAioedqmh2
9RA4mJ3uYjq+bi4CcIjl/tiW3au02wpkAoevMqmbDeumLfnWbcLgZENGMcTR0QhaPPP4GtNzhlOo
eso5N7Mian40rYFQm0IEKtjdZuRu1no1slyflHMAd3ivLYAjfp34CyL5F4xVawZX0f/PpTt7rP9P
bz+BIyqK6H/yPeJ2/+Xtz/XBdPshtJ7oGK6OZf1RuwCT0nozqeYHs/jmbPmAFeAjrwyNKUI95hxv
CucYSSI3Dc7x/7cZGlH1v426pF6wHqKKCP4grLr/lQLOy1SGo28kt+lEf3m+Vg2576hNaCYXHFPh
E+dwKdLvIbdgTWL0mUrd2PYe0Ygg7nc6Nj3cnvZ4sTNQcVrH++N75S/kfzq1dbmJXWXti6J4A65w
rZWR8S1GpGzyfpcAYtqAFuPkWnv1s2aymIvYXEcQv7YmJHa7ZNZKCB4ttUY9dMlaLsuqBLXPCb2f
j0FqpE0VxV3bqqyrFgYGgdI1KFcEJgBWjII1QiB7y0U6sy7e0AdXqQ1AUxke0G9/dUytYWMCcMTp
Q+al5cGdhnf2mvlJj6jrbnDAjAIikW7VVA+PeXJBjeSfVMm48CzwMLn5y0cOX0ZVHW8mfGp4DcIl
zeSUBFnoZY4/7Y0uBS+vpMJVGR9r0fAVyzDChkNzCuHGLseBDZaX9BuIFdFN0YOrDW2D0jN3IeaN
Wgo9+mlrCoNlUPcgaZqtMCpkYnS+uolTBEs0x96LtnFq4CYEV2OIpj3b0p6W1hDyItbGxGFteE/L
ADBC8OJnstthlTTY4zbueii/qEfDx2jRHGx5b35Em65GW8ha680LaxVMcEx5ThUj9FYrvI0ok+c6
N9cukipv+PDBQuXbIeZ4tcGlMR5yNqAQ0DQJguksWLyhoCFvwCPdEQUhHGLoN5tJWv1tWZw6teE3
WbwEmCeTUXbP7+w5y1UQJ7/90v3J61Of7CIRG0xQdOaJ4Iu5+RPtgcHW81rWva0pz0H9FmpA5Aw9
JH1iyxyHImzg0C3AuWjvDhOTSlhUazUs0Ppfo8dL7EV0gOJyBKhFrjEriXAMverWnENc3pboTSsi
Fhahs8kM1i5pUNzDdV74ARul0djkzo+WofMTi3VmYmN6M1y5BdA/fNh9py/SugCkqs3UqlWeJ/2l
+lGHFcCUEDN+oSyWRc4wkTgbwTAvTZpRrnFo/EBSEuuwHT5YQDb7KsX8JaeaY0CSHlpP8LSvbXYX
ejG8GTaz9oAiythg8hmiM+5klDJ1jItz63b1a9ZoJyZjmMrwwZ6piAHskLS//EI+KVsboSsDxBNB
0B1zYW0zpmVzN9JFzRF55nlBaHzBYR2OJbrSYjKYLFj5xIbVlsa7OUT0LOY7e6RAcE4cRIG5y1lf
L0xPvukmCMPJoYJDHz/6zmX01746dHqv3YYwdAFXdQnphMTEtC58cZnK6JfeRfdMnBwPCq3F9HnL
O0OPm2Ja5SDORQOmP77eB5Oy9oNWsDHCnrBvRPKbiRllnJQVg5hDmJx97qV1pjLDWQkCt/4EejEw
+K5pE/ukdDQ4mv0xZBqcZUrOVZVY1uScaDalpDjSTVbG/Okai4bZXrrCemjtSU60OydWuEk7686s
8p77IHGhwE0XyQY6DozkYHKO5SNm5ktgXL+FP/Tr1r+plkrMZtzoumKNPlSncNzqEV69ztUA49Pt
YHTMS9hvXxKtOI7UdPlJNS1ZFQ8r3+uSBUXjHYwv58pYim9czdzLlcGpNxxJ+q1fp8JyF3QAE2NW
bLZPvKX+ygub93JwtlK2GxlXLwAdiLZ0CjXSAIFfmIdRn54RCFeOY9ooXdN72uNYx8VoA3qX2Dp7
xv+tCXcoJ7axbEfucOLBoZy6/UrpUKq9ft8LvKSji8djGPqELar9Rdg8XJQlK0GvmwfBtgfnUjW/
ZdeazFH5M2EmM95XwdcoxbQsvIHC4jjdBHWKKTmB3sqUNVslOgVnpoyIgkbs1BuBJ9gKn2wx+Aed
JiiEdOKyHVZhhbb3ifjHisvc4t6gW9r2fjhJQaK3AlGQAqQ2UX4iv3y3K/vFdVqKivjVkqb4lQh3
yuYcCyXIWMWurq1HhzNiBss6EKjVVZr/rvSPWIP2h9kn0CS9yPWUrZiOgh5Ec98B9h2XbYESR3Bl
xT7siN35ONGdN1uc0TM6d5dI7BOVUezbyc+fJX9T4pl8hPK6u2RYl0gyVMbKteKnqY1odBy6XTOc
mpjZuG9x3oDl+JPdPJ+wrviZNOTzoG5Nz02/Gwfjnrfy0uTFxaLbkmFMB4ZqyqdV2WjDLmJbhgqZ
LUj02xAhcOd1eTitdaaMFeSgDWvQbjvRXddJo8KTUksmxF2yZvOxGm11nOaGEq9ofg8jL3vEtw+r
bngbNHxD7IgWNaLvbK9SO7cQaz9l2a14pUQzfpbHUq9+epjrtqhEl5QtMk5Yf22pBAZxRGIjqW3q
lNaRzAqwamxRhHI3hPcpD2iYYbr6LzcvQtBaQYToE+yHUP5SRfAWldkTpMZfMOGpBq9tSKW8pn1k
hgcCkAGQGHbzdSxAhqItU3vYAXZ0tcug1cbGGvQRDaKYjklcp/DEvJ+54yenMMc/PuL7qjX9uaXx
dceKp2NldqDgihkr7rw6im9xguQjU2Wscplgy61btbQ7bz3EJfIXZRUrvF7hQlrVrTZa8m/hJ4Gg
gEwGQ8XYZRmhf0amKrbw/5fCI+7mpB6bD3tdF1i9+wpXRF7Z2rZikAhrsNXXELgobEd6mHkDJwc/
xaJrU1pz63BYiAbId+xaw8kt9Y6PqNMs817X0ToNcrDqIlKDnk/Q56YRprusZGTI4q3Vys8iYuBu
U0WP3/OIfdO8h704VxUTU8IA+9Lw9WUYUWybZN4+Df0dPZXxsvK9D0vUzqkqSZKiuiL5w+F2nYBq
NYpmgaEN4cKx3pNSXjon0ve46dcFXby9xAni+aG7y9jI4qM9UUMeHgdVftR8oPYT80feHlwd+Rwy
SCBuhp3zTfjc3rJy2aCX50s979VmcryNH9B7Zo3tC5swvPqYCwAuIXAYIc1QNoKLwjf03FA5tBw5
eLDztV8Vqfal6tqWUGoQoUiWt1xJ3I7DobAQJYUlq20z9D+aYnphumii5sYGXKsvJ2YPGxocpfI0
1BemaqvFnJah7ztdZoaGkOuE614JB1eAvYZ4HB3rmgNU4U1gUXIMX3Zo4lTun3qtRcP1Is7JEUAK
bN7GcmAB3caIxkaD5Nfp08ZpXAIMtWTWqXe4OSe+q+W9dbpg7yK87lRQbilc8JcBmjYb7/HS+h1n
vxaBLVRHoi3aphfwFSU5M6za1CCJ4A2vEdooA3o9nC0uVKdg2sKa+LB6Qpj/3acUEU2UHRA8sPCS
4zN3Ed1hbKFaFmlKyiZBPqU5nkmcYJRNB02b+BjnfYVlp8ZtOM2LIE0FTJUSuabEPV82IljW7B6W
mmmrJRaq24QZ7MqyDCrXh1maOPDyPltk1N9KI6EZvZ9LMc6mDnzA1Nt3A30DLgFXtPZm6IX3iksg
3QxiTK7CpqSYHoxgS6JqM3vLVloXyLU5ssnlOQOS+jb061XNaXPT5LOL0dSZfgHGHVnEngcGdX7L
V19GLPNirJdhhfKlCfsNqPE+qvrfFUqK3U/JLXkHCRDtB/rkWJh8w56l1IRNh9+rgywbvKCqIXU1
boo4kNfRLPJrzoR735b9Gzs9Yn19rq2boolOdhxsow6ag5XY3/hWkhviRwliS344Xrmd3ZMr9ALk
VZFzfpu6mkOzlZ8iXegriTK/iCUm0D4xtx5HTxCOVPIy1RmOgxPuJojyK0OocgO69tSCgmWhSKma
XrLWnnTXXfTpTglNI4LyORKfxM9KGYI0bXQttz2SmSeIRTfbfIrm0N2C1e3WMnpJZax+Ri3UGyci
HYun3eW9lUclq5cBvueOBgM7GaxrW2cDYliAK3zSgdwCTqhL5a4iI7lW0LnO1Vy/HAPjXuvQHYNS
o5yAZhVtyixSftnx4T/se3fEVtb+aoj/x2Efvw4p5b6aYF/QWs9d9BTWsBYB8MinrPgsSv8paBgS
GwrakMOUTDFzB8XJjCvrC5IRRqSWHuGTRRMO6TayIFGF/i+pmnJTZoJoB2KWkOWvkcMEaT4TtVTZ
nLkLhkZR/hn1Js191M4v0UyZlnYKNR6bb8cBoSbXT+5PAkURjEcnQs2bhC6bwsUOUuDIRjS7laWz
YYEdXWglIx8YWaxNDGeZYkrDbYxQylqL/U67i4KJRB5wZ5Iz1auQZkmpffRZJCw9JsrZVpEwgFl7
2XcIM01VM5nGC9gDGvqG8xer29RcG3rwJywDfkk3fOsibffUfG5NIk2LkLUOhGQfBTYy2RWW34Vh
yk2PwctNg3Thd8NH35ifpRMeBKvPzDSsHdt1ja16eTaHgXghL4E7C2GEM8oj9Nl66Sns42gE49ru
U5DJgfXUTGXw3OamXBLvWE6k/zchiRyYpMiDYbRJrQQ0rR1dPWQ5jgHNz76yfriRJ+76UG0nlH6T
DbVIil+iD8vTgHLKhvbLafsXZCYqnYEQrRymqAs7nPytgs7F4sz8TGgHxdANRrnt3ZqXGKOZ3+Hn
eqay87fOsGxR6xDftEjshG8OuxwSIkUJFhYQ2l9GIRYTygVTmGOO+wZfKd6WTD+45g+8duE56DKM
Yh6RSo8V03sDcWJVIO5g+nfWoYV2iZ2fqhe7q9lrP3aarC8qBn5W8FzIaGJExvmVrdalSbxDlFjd
yRbMKzmBLyOdpoBE2CWKBvGlVJEdU6a31J2hvAotWjP3y3HrnnM7j5AqLD7WHeXcSDRqQLFJiZzy
QVYhrljtFojxzxyi2ID8gYwJWKgI9X3nhgaijPtJwLLdTxG+3alaDJXjvwTfXu4NuwF9e6EbRFIb
Y25MBfhJQV+xcEpqAnULOpaN8EJ9a7HSHPOsaxljsFbsPOV1C3scgbJnBs+Q4FOGqklnjtgEIxCk
aj7/VqwN+X4/QYZnqzLio24m/14k2OiLDJMEodsFGGzsj27orUTkOHT+lu9+TusDnuRiUY1QnuMi
/gUng0yhdhRKr9dj15HnEPFHysG4iiJnZUvrNanJirQdY4nereQ5z0CqmE71jvEVF0SHPBAMkbO1
zSZYFHPHsR1Nw27cJBiKF23lRIcMojf8OvgJg5ZgryFWadObzQF+6enQKwX9DwvDDxE6rFskMN+R
9Sg2Vla8x5lF0oH1SztjpNxkqrexF+zHpv+gH6Rdmm1ZrToRiK2TmjXrvilZ9x+BDgfURXVZ0TJg
r31MH2tZmTtIy+m1rCyE3IZVSUWiqppT0cH4VXbVU+QUL0KMOt2gYgMQYTyP1g8ZqX7lY72cLPbT
Yzl7BtMZsZTne/oRODpO0yEzi6Uu6elB0wI8NJxgNUoSu6DNm8n6wjO045RYPksLurqWo7/mIjKX
mqOePWcwd21kPivxPpTjYbQ7bV23Xr7AG58t/VLBXtTl0Rs55XWVNi6LlkM6dQdE/UfSSTlzPdaM
H7ZdaWBcpt+wBCqOpIHctE15ZZywMqOgxdJRAjZiio3EUWCox22BF5UDHI3FgT8ejSHrDtk/TIG5
jywk+dkxOh9Z/iaivUWOrh/i0h0XdekNh2jmp0u9uTGyQZ0r7qmPqa3Ran3Z1ujijTuaeBWwHCNy
XKIuXFBlzQsoxuAoPOvNwSKOikcipjM7qPpgacauuE+BuKpUu+NoogAqiuVaCKJc5USD5ojxZZ/G
ZQgq5ViPlb4ZYTitsuJD9bAoWuYJcfdck+qf9PjWmem9LTADYo1HlcIOK0h4hpOzIrgT771Bv2We
te1aX19HBWCPqUjmUl5qFmwWcyaUnGVeEmrr/ZlzMWDv8MMdNQUOBi5TX7q+8axMOexrHVRBLBnC
O5YEkNsTj04bx1lOs0sZ8Y7DpUF/kVfqS6vAg5BTMSB7Ba+ge+1ddU0DGFKBzLYJ0TYtHs60mZer
bFgPPmdPu2IaoCBlVxEzec0I65Oi38wyNGuX5VCkylZjmxmWG8SD1ZC4PuZDDsGDp56szHrW4qhe
4otgh4meT7zD/B6yNH2q/PEX7GIcGVa7iE232U4YLl9xgHp1jsFRFgdXofr5BR09kV99OnSwrEQO
iMSqKNfWwArvCJ4yz4Xs0MfMwCY4QFP75WcjHzJFOqEoUC1RwZOC2jL7XGoTI0idGHPQBYd0GCjf
9eMPo8VUNWUqWnTOQH3bMLr7XvJBYg/dadkcRDHdpQFpayUM9zhJY3bxWme3E/gpE7IXRnvJC0Nc
ZSO+h5pBnOHnO8Y9HFbAeW8s+O6p7bvs+jRWb3m7Lkrp72AEc5hMkiMZF+vUd2BNa6SyOeGzmPc5
XWn2B2yXx0pEzybCt8z7GOk+i49Q48HKn5qoE2vZaRpvgrzEXfktugo4hgH4aQ7wpgXfwtKHv4+P
9Uil4FdFqrrujIhDSt+s+UaUaztY2oR6E4BDW6RgvKJIC6nkTTFsDBsay3SPWFxESyNxAnujuhkO
ysCM032z6P162vT6uDfhNuGassFkcExOJf+5Jh0uQ9LdkfFXcTaQ3iENyYkLUml5T0z6/yK0RzoH
GF0MhIk1f9V28jsn7rrztISsLGcY/hOGd4gHaCiBb7Ezc7pvCD8bTF455tbUptST4DYCStNG9bsl
rQRTp1McpqBq9H9+RCEuDs4JXF56yEJRHJL5QozK2zipm3Q6CbyxWnoYwA9mNqeHuqxirJf8qDBn
MOSP80M7Xzx+svrapbFSo5K5NogNs3mdLx/36TZWitBtPb6zj1sfNzwe+/jp71P9x93/PP5x1388
1f/13H//gsdT/X3mfx75z7P8veu/f9Xjn//z0Mdd//34//yrH49tabjZZAof+vySkGb+98UJJC3J
RVIKFtfOWtJ5j+tyHK7u4A1XaqQPcZ9bR18vBaxGTsKdOaSXv4/AblBSOPXzcQtDHewCoI78Y9tm
+8dtJLPmfrV83IVK+ecMM3BguP29M/ThTgtRDuns7qbHLCYo3oWIT1CK+6vjWzuzpRw3mcj6ulHh
vJK0E4whB0Kb81VSHtWOgQwd6/NVDmjsGfqWgC7s1FfHLvRtQmnHv/d2UbmdcBCBGObB5kjSRWII
XD8ejA1D3xgaoN9/7lWo2Qlq7OZxNZ9oEDOCvAHzwDNblmWusw77+OPewsD/aYCz3waBzjPrBl0E
fHa3jwfjT/ZX1kyOfPwXaLHiFNNoIagY/oxM+BSWZ2mze/xby2yyFSgRk1YGth04NUhw8rjF4DKS
JhOYvvuOtpvglz1j7dZefM1e/XNzZJXnBCGGCMKUMB5o4p2dQsh83EtYu1xpWcJicb5XJs6fjtqd
i1WUw9lvg4vej4hHHpuuItTqe6eIS3nmYC8fVwuzNS659G7aqOq72dXNvafuPEzoGUlq7c3yA+84
+jjurSItln1rjUSTB4L+4HgOqe/kxyaRv0vfTp/xuwdb2Y/aOmNFBRcJ0jC2qWoml9kGKXMZLCYh
69PjKoYUzN2a9mRhyvcCVdyLcFxwSG2fUVaLu62nHNRFYB2ydG7/SkOCHcXonJhjXVRWW08ZjKwn
UwQV5cRYhh+3gb0xn1zsJ5sqdOhSmx/3uCgkvVttimb993H4aAZ2qXq2fzzV4w5R+9em73VaEZIo
WU7W80S44wbBTrSpexBdzMc5cBAzLJ82FoSxOj0+Lh53xb3+79VWlz8VNhArEsE1nsZ4bSdVRPOl
xSgXP/YbaTSSqlWf/qC167OXmreAOMBioClaxuSW2nTuhVUnUfL/fSHSpoHUMF9vg+bfewKPzST2
mXKDHFJfwv5Phw/v3CTW51gTTwNsbx+nOLAAbYhV5F916t8Ih9TTLUGkouGN6J5q6q1btOFTWpmA
lbTSuhWZfskfx37NorMrcw6MR4JVSYByCbFh2nUkDzKrdZ8cPMpPhOCKvZjAmjxuMwogCDaHnEUT
qeTJMNwtVNrpLHmBxwGXoXRzjSpVLmorrLaaG85ECormXfhfmzHpGMWkySwlznPKf34sCsKpZd+n
67YDJ9XhSTw9fno8xrMpNaV1moV6BKPeKM8KZvmVha9+e9zSMf9ceGHkbh9XH3fUPn0GaYBf+HGb
5RrwM9Icq2ia57fR+p17Irg8rjiZym9O65B+tIccnysPeFw8krCm+5omdXr15kflJou3xrl7qXVP
ysK74NypqRTDLWOTTT9rTVi/kr6iJI7qZGL2Vb6gZrx48mdibUO4QCWac/Zs9u9LzQ7PfOmeReQH
zyXYiBVStLaKJkrEp3LM0Y5lfLKiGB0u5tw/klsBLOHAFiQI5bUJnurRe+o8f9z1Om14AaOPz15L
P9pKG54iRRqT6QebsojxBMZQdWBqTYVuon5aQ0DmTdPZtnfLyMLrzcL4i6HDLamqGn8kQdm+NuVL
ifmRunLdZl+T5C+P21TcnnuB4XAg1rbN0iKnIb6aTrrSgGLlKGKRv2Fybd66uihWkgnNm9sMZM/w
S7w7PnK9O+DC8cSwdrGznR4XeuP9+9Pf26D4yF3Sdi951WFkfNzR2zPFwDFx79OotKGrt2HkDx5X
eU2zCH3wQa5rZB8dAqqfavnSTpDOU8x1r5PSEoaWpbkLLc1+CjINFmM4HXpMkyAXWr9YQ2in1bRL
XmHd0NlKe7iox/HbVu1P0+kIMYb+jNTP4p0k0b4hAMM+8Uq4Bjubm4i91bbjTikM+gU60hIOnXGG
jB8cVOMfjUmcNH2Kl5ZXvsS6tcZp5mOdc35YvZmdbDCdaFyNcQSZkZ9HLYzWQz9M71p7RV/eciYR
eNJz078Bc7NH5/b4OZtvqGzjVmijc3zcRLyFxySwojzfsbZ/b1O1W65D2kpxSPGvHncYyaTTtIeY
9Pc2V9UlwKb0s9RJ15R67L4GWfaVxYTObZ8asKJrfmsGkfgBZeS5i3u1HQlTsErNw+tMd1la8Gwi
Lc8/czP6U/ps7fssHW9e5n4pz4CB1RkzY6sf9lbdZ1BOWg5n8EMmvc+fW9e27nWH3sF2+M3tQWy3
LCsW5FO0N3uIK4hv1EI/7s2DmiDqVIktRpDsLKoRWpTJKQDLQO/0BwN0/i3rhuA+FS3h0tgeT+y4
vF00wJPzLE73I9OE6xh36VZnrwLr1Hf2kxtm+3ZsdsbQFFtW8xKBYCanzIZsLG6HKu+79zSr2YZK
a9jruWQ3P3B4fDwCbZbqZBDNOhktMFSt2sVGGd472/6V+c7cWdEzZYpDiiDpJjkaduM8tR7eZj1M
41+yGb58a3Cfe0+vDlFkT+tad6qfebkBu24sjNbCMzuoc+gPxodh5wYtPCbBQ4zDR2J+OSPKOHud
ohooVVFnXyWbX8wr6S843tjc0cwh99h4UkbkpawtTsqhPrfsqYt1EIuWNsCkTxU5N8wAhEykc2Z4
nnxPdvOrcCLxPjFKJq3qqVsi4Pi5jUb/jmovVh53O3IdZMY6JO7QNLpPAsWX3k7K7x4yRl3o+k2f
jcNuKV8MvXa+bOYjdKMZPwt/qJa9Tem87iTJTrfdal/CAF93ZYfVK+CDKjAOYuGh/zGuyTW2Boa1
JBv3U1W5Xyz5ztLP6k/eyxjZ22+vnUXhXtfzbFDh5VNV27Q6ZU+QFvV7O/EX+nGsPw8VsHpD0YAk
ChVgcik8JpuWT0ScHWEuCwSYlvgnfrRbyS8+Eql26SppqmuV2mrjxy2sosChmyKgXxHtiZYFcl5H
v0jpy44iOhTL+NtxGjIOo3bKOUGehMI+bpbV/nHtcfvjgkmrdvr7sC5yfpJs7unD/l//8u/DIojs
zI9HTrKNa98lG/NqksNzPl8DkPSTdL46D3Zn34tI1EsTO+L+cZWiMGjr5a+J6d2lIIl76wfAtV0B
bPBxNdO68paJrKKw0rjJ+RGPmx53TjOBPmJgtINBUd2GlLAPid5+VcF+Qv4g6D/gYH7trZexS5rv
WBNLTkjydxV/GoVXbxSbfoIAdn8jb/+L/g58+775p8OD7cp2W6rEZjuvbvT0+YdwuNj40gjMOs/F
DBeRgZXTpuqY+TEcA40Z1HzrPz9yqoCuQDpmM/lGt7dNWHtzI8r/EHVey3EjURL9IkQAKLh6be8d
vV4QlDSCK5iCB75+T3M3Yh+mY8jRSBTZAG7lzTz5bvuy2oIBgNT//FCORb8eG7TH2EbV8pkq7jiR
h3uQZNWit9xp//+fI5b+uxt9/zBP4XD/+XzmxHcXTAPGBx7SS1SLnQp6cf75j/AZ/wJjybdzAB+y
H5r+XdEucRjJUtF2VzaXSqVvA5ChaxdObyEh91UQN79kISm6l7l1SrminpB6Pv55ARrMJ6un9z8W
f39+yc/nw4BfbLZdAKagO2tcQUf2+7jiQu69TDXjwrX74QIfzHiEk3flms6/yo6lac+tEI2NDyX+
gpCpFJuC4eWEFYN0nPZzEj1+bMOx/K/M0Un65x5tdOublVbNuYgs/wKq7V0Elvlm1lJdu7J+paSp
eh0ooiCG/Im8ZZ1LF9xbTOP0On16mLsoTu9hJh6VNq3j8Pzo5yWdFH+/oD9AtolpADMYo+Jn8rVC
mKRUuD0MLma6lOghp1935btc8WD0b3UxJb+tCnRK5BfttQi7zy4R3mYqupH3gHI+gMP1Cwjhx9BN
irXW4cFxsnEHtl0eS9f1t1hemUhh3EFteHoJA0jqfb5Dqr7D3yDlo19702VjHg3jtmet+mcMWHzj
lh0+PNFTVzAX6dbjz1mbAqSnFTrdb6fwPox649phGQLaKAtu7U0N86ebv30aPBpukI9A4v3IXJ6w
LP2yAEsW5rC+nJ0r7Du94T42rY0Ad4KPGndlA1sfozJEG0y0/JwFiwB7U5RJ/8/oh3XB+RNvb/lN
74SkfBQYKC/DmHjH3oi5EaUaqlsZ3+YWpD20tJxokVghQNpfkVedPV+2d8+BAdJaFac+u/I/po7e
9Kyvv3EDiJU/mziu6lA8ujT/3bmP2LbN/5KcugTH+eeqlyQKtlWm3LuFAwdY0JNgQ+EUe1d2MDrN
d0OZOcs2N08B5QWbPu3RUxE6dm7YffuIR2edQhiei21pBR2FudEbMZdvRcnnehY1Y0YbslyXQbzq
RYW30uQkOgap/We0v/xsiriaM95usRW/mCzwprR19vTVwyshT3qxQaw+zR/+h9Hzf2d1Om7wQtd0
srOuwrazanBr/FXA+t2ggI401FiBdPyh67Z/g4W6lnlv7OCH8xjBuqvKFGkhzNmmMXm/N7Tm7Nue
FJdLppYgWQUasTL4XS3hH9K0dM8ymH5FffkVuFb8OSqibYhlI4WogJ+wHLYLh3r4/2z1QmOvC7u1
NDji3zFtpr8da9eYjnH0kzzZkivHSzH31ZuHGLKCjs6NehTYENpk2uVuKl7GWH8yBQTfsBQwJE5T
fSVKg87XJIj4U34KywtAVgQ0qm0fyZx4h2KseSQG6OH0/1lES1RwNmm2teyPPON/C7Xd/AFNB9R1
eMVm1j8iJxnWEkjyofCjF8ay5iRL1mEhPvS7kbPfdYi6LxxCUQffZJVMC+d8UV2zHUGYfZaRdvBh
cGmh89vbOJ31K6uWlaFD0r9lg40VNRtiohWu1Djxpkwra5FnrXGSvVipmMV7Hj0MOZS7KAR3NmcO
6eZEfKhSf84K/lkes8A0uuRYBYyuSW+TmwnhHqTp/LuMKu9E9JC4Shlz6QyCm2luOWujkjYqK8u9
nG3qYZQjNvzOnQ9+PC6aTsaLMqvrD2knR5MulIVuSXnZZIEueUusw3X+GtakvmfkaFIGtGEiu75o
yb2hdaLg7obhNygXfpa+OS993Iu1GO012UcmpJyy7CHiWVWTZwGPDk+2/Zc8QXU/Lx4sBQIm7Qnp
D2lKThdhWxiIlNjI0gpZzhrQSzsMi1gB5N73370hqM8/L9hi6a+HR79USndny7ajVTrP7uHnJRSR
BptXDP3Cjgq8z8r+aziu/uOE39nIBjQs/LtQhn+vnrT7yWjOPFLW0/yMeiVoG15ph+uJNreFMjKo
8RR4s4uvsPpxTFj4rgSnNXc49msxFSALrZKnA9htW3nyi0X+b5Igy7qLzbckaYBMcei9DT6GTlIm
6wGf8j0F9rkGBFyAUnLEgTqUFWmeg52rG63AznviQuicFPg8ZNJXZZrBC2RFCNIWkA5dggye3OEE
loP000ya3Obd+J5aHXewNMBvLWNQX2b1hntspXtYTez83+wQh0mGBpKWQ36o+rp5FuKy3X1CFTsT
3kNYWjye6h2SGIlvuw0eIFPeYwvMqxfpa9vAok18nCZZaDlMxSCueh4/OFVL50bJjLgJd74YZbYS
trReB1XnLIsy++JwHloEGYOcnX2YNpAROkQWg5GpG4xDuOt1y3sE58FlniXpxpbMV0155AqHLqbS
QPUXioy/LDGbDGPWwmi+zc5Nj243/N9LM/Okq2AKi4V8llvrGZE1mtiUlEpFn54ZvObZWC1cI+mX
ibD07edliDLAmxm0cJ9aiIPijLYGm4Mq0NfqlNnNf2NAiJjDk7etbd286s767q6ly5IMgSGFBW+z
z8PRTr1VZA53N5P1USRYp3JNRRqZlviYy/5FqDr9trKyWeBcBYA1WfmuTkq1i/OGAOdUFV/dyDTh
Bd2D7jYSXiait4MQXfWVd6M6JtuLQDMu2s1fa6zrXxXJMXTIXRkrddHPly4FgtTV7Uv+nhDF3/cp
hw5MbzA542vtQ2slEH/K+l6/Ob2mm4CfMPToHK6TCbiWrwP3jI1jNY8Xee/87RXm5MZCgH0C6Dy7
vEyIsGfqlHooWkwJZ5fT54dtZZsqVeom0ILNibV5i5fXftqA8oxVLAZ4wvW1RUjJtwzCdPk6o4H1
hvxRrj2OzYfMJwWM02/nU9f2c4VzEpvWUa4ZtLjqb4bUzpou2a2uAH6g46l7n64zzg1H3LPuMZ3s
P5MNMr5SwKOQqezDIOdVr7qNYXfjKUAFuFRPD5X0zxG0iWXawxsz8LrBKIlvTcV3Nh3tcGX8DKJw
JCGs4Mhpmi48EzEpKuzlanLC86zM32mSShRGG/8FPR2BMuN1KVipNtTZPnTLVck7g3qwiRxC0mp7
n7mdueFmKVWaLqm3ZBktjeyim/blh4PBWIzuh8m7lxjFkz5cmXWDX6CAYThIQ+Pc188HHCQ56Abd
1lHma0YOamN7qbd0lPU3Lid/S1YEAbdW+Ezb+TbiGjnHTs7bKGzoa28Z8MIk2rkTHtD5+cwln836
vQCwb9ffpKD51hEMvHkBhRZZzO/MO2g8CIS09YjFgaJI+d3Elc1fORyvhqZEWxhBvxAdlliBJfwr
SaEiOXkAaROL+yNu2o2gXbvOXPvdd5mUSTSHCzOs7feehRs2IBcZoMZeHBhYcC1cNdtaJNHqWbHV
Yw7a+3B1NxYwxw/g3scs7CkgCqo90Nd/WUMrySTn8q2diQ25pQ/pwVEwFWLajebC/y9XTv5SGMO4
ZydLc7t2w7Xhg+fFaFn5Ov2Cx2HtJ4mrVkXdSUrPf+R+qR4YhZC2CLaPY3cBvjlBtsXg04TgKvqJ
UBIyxioz+MoK2zvNXdTvbBtxl6sleTTtSIBO1tRB48FbGCL13zubBwS1d2BtCmx2zLne0ZEpxxcg
sKYq5IXEuLzENuPQkwjaRpX8hRX+D8siOhs4lulOuQeT+QiFMDlJrLZE8MAW/Rw7rLpJ73gJidFV
6l34JF9L3gYGBPqKBu71NOJWiP36Erb0ThspNvbGbknQ0P/HI0Gt6Q/ptligOEdSonApVXibPYY6
LR9cZdmLhGU0CsmlRNXgxuHUYftnB1uiqo1fuWUbbyRX5B6VfzGE+CG5O+N7xoW7IuBYbQeubuIR
9Lr/vAyOs7O8/tbSFrNLn0zzLKFFRrlTtS9n9yUjUHdFv/o1RW5z5nmxT5sh2uFSyVY6yDg4sHA9
j9yulrjxDhNIIBKw3qGpCB3gPIp2sfWE2WUjRomnla5W2SNpUvNQ918NXWTfWD2RyYhxcFSZVk3a
wKGt7IlppVsPFNdtdOC5G/xjGqeS+Gciux96rEuUHLJv6LEr+iXiMf0tydGYWM9Pc/JHNJM+NZMB
SN+A6Os6j1CL+pa0FcFJuHphqdVxsDLvEJdEtfU0vrSzA+MAe+6VZDyq82geVaDaryaDgcX3t1hk
GFmx/f/j/kbMyuy+Bi0+u0Kqvd/J9oSGU5/wVJu7ypxuP4ueMYnzbUVuQPSmszTGAqizbw37SgF+
MCE6hfn87Zl+/lIG6bSBAMDMKLP6YEIoW/CUT/ZkATBWA6M/CjMtbnTrVnt/4HjpSzySOJ/agG1N
II6DqOVCrHhEkuUnfysbmLCYIPIJlPKY4myrBiIPhbSOldDhaUipEqZWcJNK+UUBK3RVTA3rH9aR
QSB3pXNYSYMNzdLOoJ39bN+IvXBFKJmcYu7TCU0jr3YdHPza87atbvqDrxrM4RP0Sxw9a9v21Qai
PrRPnbh3Mht//aLzD8VzKffzKVP46y5W4vLzqdGUI/eG5zQ8UHfcdG78qzIUdM9oHk5pmJsvPKlv
/BTjXxMlj/ToEEiQrVd+EI0iHQdpKWrj3yKu/7Sp07zbbCyYzqP2nDStPGBH8CCeYgERcXSDAfPs
Xo2MmwcDiz20ARgW1/xoxdlH4xj1ArV0XznVhx8V7sfQBDVoD1FcI+ShPZROe2dKZV+JKSsAeLP+
JIhrNUxSWPz+wYWBvdl6f4wnJiX0hfESmiW9hHk87Npu7u9UPg73iEIGjUvbwSyI9za6cFMbXkyR
nnMzKb5UVxKoYwTmh6yuBgAZfDch0WVVFe851YELVRq4fvuNU1vFKRusce9bib2vjB7zF8AAegfB
8TxfSqnaXeezzF4JD7yzO4By6sv2Q4DSB/wmxoO28exUOHysXKOmd+XfVIX/DSx5P5qZJhSvm3Lo
fDC+Fk01/xORsx2A2r44bWM9UmDS2dgddBOY3N9IcXIgEM3dpcFWtLVzG10nvub5cy3fhxtHYoSe
XW84t4REVl5pGd4iSLwQN5qYPpPAfKUDmCpQIJtjNSTnyWvjVVkKouAgvDad9OqFiwLz6jZpxZNJ
VHudg0HExn8WI/L+qNzoHTunvQZkk8EwDKulGRZkWQxHPyBL/scTiU3smA1UrAGRDAWPq6gay3Uf
WepMCjlYjTCj10FZpKticPVJjWK858o4axdhc0qCP74RH82pUp9kDGiEawy11bMBVEiPE67RMnmr
ORadLLZCwAn9GP9FDqVWcv4Jnm4XjtDE/aEeRgn/qop2U2IshUxk8WSLWEZIAghQpmXHzdOhVSye
/syDnjeRFinhknp+0BWwKPIxRFQPrmNIzeuccY+qkmaYn6kEUhttDWeMvV8VWdPHwIkaTomu7kAk
NpbX9NxEyXJqAY4wdebxV4dDrApd8ScKamg1GbynYKTtBo3tVLQOpG0l91Ibzt0Po2ivnz9jCBNw
dFPKbyx38Daj2cTrwjf+mTpOtnj5feCRnPQA/Q0wNiHfYhiFG3L1cplS3fXaGeEyH2z9K69vqnej
a87xsTQwmBKERY5yevR3MXE9FNo5JG1XkKZxAJs/l4r9/LuQ3x0mi6OZ5/+wmXov4+Cy9gIYADak
2pi2Pa9mXcq9QavxIuBOwR67DQ5O2b6rKa0viXY/HcaYpcO4f+2MvNr5rnjKnNXZICt1kEEmz5PB
0ar3k1+xQwJ0hGCzckzOpDIzcwpLbWPZAPRedS47bOCWSI4L4XfOHjeSsa8K9VXg6j/ldDCFVSxP
U4K7DqXzE7zzxKOjkZvYgfGZJhFNtJx23Cdi0y3a/c+sPim6k+Eax7eflxQO/THQ45O546E7JiXP
lQQ0b2t1S/wguJVjbyEpNHwZdRNtUSAwTOB0WTd1I5YAkcTaMHEbYBMHT5s5ZGhtlzXzGPibmYMl
49MYvcHLX/4v/LrGi18PMBVE6IhjlZwmVt8nl3XGHo/EiORazrtUECkTNud+x7ZRhhnOj37YWRtK
yZhDp2RdxH3wiPIYvtkwn9yB8bi0j/Pk20y+WOsFqdWtmkuq/9qmefQV/rMx9sZj1iaHrAEo5/fI
2zPBbkimRGFD44CX2H+b19CoV4LY5ocMzX08cKCqG85YDl65j0rR9RJJ3H/+eEjt1DhI3qZLLrjr
6AWEcrBOLJSaw2MCS2UBuuKJfw7mfYi9eZGtsjlyiWTqcdU1rXcgunruDXf4YAUPN91Z5pkprwUM
rFcs/USVbEncsBGnFkD/2/ivS4biT9tmkASxnQI7wZqfW9SyJcqDysDbN0/vc5yK/Uxx3pLHp971
zbBV8j2qbUyl8Yy1E4n93aLiIlL2cAiNND8h3GanJ5Vors4Eiqc9DUrBbnBHccwdCAfayVdUulff
bmPv7RFkZ9d3LIXa8k/j5OXfvig3sZUXTGxJdo06HW5Rwp+A0QhiVGlHZwkJrVKO916WecFm7nlM
zGfuwap9H6z8NI2ZiRYGZgw/MQFebui2P0HhCMbXViT/YZ4bca8/Y9fO39CX9XsTyPeuB7tTdWKT
1zQDlOG/THMS8er4PQ+za636ajX0IxUFYeZtU9N31uD5dtqdJSfheU3KyN/b+IN3gIjEpq9sdXSA
gqn2T6eIlStf7MHJ0gJh+d+F3ctP0qEgigh1F1OgzvUknLsc/L8hGrKyQe3VfdStvYB4FHqqOmmv
b5demOmVUafzyQpJiBCjWJq9kZ9jT/l77f2akZCOjJKUGpVx9u3jvYGFbgFBIv07lGV0G1V+qIfk
Kw1cemBBpiy7IAKel3OrAXLEpB/I9O9o2Vu2aNUOiH9N2Hzvlh7UDY8ngF/nHXfWmQG0Si/t4Hmn
Tv1Ln9sMYpzVEs8Efnsij+e4/py0BdugQUxrTafdzJ1NPWegthFur3vWV90DeBOLK7N8H40MymQi
m7Vw5LtNIee7Fio4ziSjlQ7129S7n5bn2RdUtRv0oIolMe30mOrZbffVdGxizCPVabKZFaNmjvdm
6mdvlc66RZhY90ln9OE0jv9ZKPJZkTE/JnYZ20L57iEjwr0AQwymWDvGZQz7twpYNV1ejXgfJzlx
nG2mk/CexsPKhWog5mYZel66ycSzEsn26AYIzOX8yXcy2xuT0b9mMUg87MN3c+Dd73MvO3II09vY
A61DeOaUttm4GpwKEt8AM3iaHfdWzOIzeGKp27Iyj3ik3MgNX0fiGhQxtJsA+M+h6avmNo+oznMj
ybMV1sFTofWZAqPEc3HDxkXNSnpzvLb6jlJS1n3EiiUklXXR80QmHcswdiAqkFypeB8A9mgiI2Aq
znZ6AL7skyAeIvAGrIjWWWqbe79hyxNrMgK1L98J35IYNc1j4rockQv64w0YQLtKqe+UtqUTlddr
gK+49ninvfcpiXkdaDz9dgKhq68uIxJElsXBoyi8assE46xGL7v7uefeyff6ZAy89BjqKn7zWjoX
7XcGOPNu+A0CZAd6r6jFJg2z8ZpYqD6UAa3rzKSBkezpZWIuXKCmtWfSdxxMMOq1WcyWI/ZXpXZe
/cjodlbcCmqo3d96+KfG7GzFMfmfCmyClWLtDnwqWTpu0bcUtOimCkeazD1Yal4vOUk+p885d03Q
VbxICyiVrKttb4QESmkxenHxyOP4nugFjcJ/ISyZQ0ut3r1rRlxTeQtuDyMJbcjpfwUtW/TMdiAA
zayC9mQMaI+glBZd2lanUKXIYQqxJ3EaUNgG9WvbyK53deq16KwcOpfG2fQqBIaRNktvsPx1PMno
Gqt6WJQdgdbBav4zjew3gKlXg164b/emkZ8xEczli0xpjJMtmZFpXoPUoHB7JrPhHQiEmTeHqfo+
I8MSYFmSWGn/Zv3tGWD3oE7/q2kI6Lt2gzQZf/yQv5RDxKkGeXDFwbDGNSS+I+lFF8l5oKxRAYVV
bHzhZPveHaaDUSXzYYLDtNejfvEiO9mWieXtn07PfeQiM6Gr+otpMDQkV6v5NbT6pR8RORr8Ltsx
baxLLMCGNbjFOGH6d7B89cGN1H9ukx36XHXvUuyfqdlFmlTmnZu8B7JDsQmRr70bpr8lrcqGA13X
ToP2tVeIWWHUn32/cPY6xRTHJbopWlUef16mzLG3mdFckXmLs7ZHY0tojLdYlTi/MNT+lwr5u0rh
fVl5bt8insBm9QCWJ96qlvtSWBPGC12wY6PMH3Sg54/WdiBWs7ZzEDQXCV1cd4OSWRqokyN/rt4q
Y/qdWAnhxueLdn11Zv+EolB/gr3auHHvnUjxZJRrX7hLUo3ZgoJMIZT0KeeV0lS/a4S+o616+B7k
pr/qRAcb3dfwlGEwXJs2+ournvx4yqanlqytoBuowzgNHUXsJQqglZIP42aFXSw5JI39KASUSU29
zfHnRaAIlsQTgJnu6TMsIYqRRaAGnVFMWphh5bTKm6Jbdp36FE8jXucb5YtIjRPmpPnB/QnWYEyE
cB7LbUKS/AZvlJhLwTaImPgLB+vqZWysaMUZNmQfFv4Z6ch8NGZKHFZOS2QiSVijGY5R656CySsf
hTchPlA1OrOF2whlp9uma8GBhvLq2x6LkXlWyKxtugtrqByZNZI5zGTpH9UMKdKIauLPPeFWw0q+
vL7b5VnvXsKZnLPL+WwRhQw0uNoPTmO0xyCAlCfZZsCezY0TaTtNbKwmbAB9QRD4Sjt4DqC3Zy9c
FyFSPqJdu1XqCVi1ch5JdfzR94C3ps7dxopiWc17fRPZeMu91LBoykxQwUb2oomgAWbIly7mFqcF
VOqiRS9VMiLqEcKBC9msaAhN8KmX7fOYDrGI/ohlp6iQdMww29mJ89LjCTwhItdw2skE97OX7Gk4
/0V8tHhDPuGoFxvVHh1cLnJZc3wyUr1LKNCjKEw5B6sm/ZKyASj6/2hNae9xWLqrOaSnuh3EvWqr
8iTsZ2O1ILXCLjy7sbS+lfwOLBRcrG6Mtjg0QrGUTq7WThDLSz56hIZEPVIqxnrAtepiFUbSv8bb
jt/6Akg0vtjDvB46rhDWv//yuLBphYrNYyj1DG93ZhExmrizxqtlxt4Bsl906Kv2jcRWfTVaXjj/
nTQD3dEwqbzo1KNxpbhlvDHpP9DHYe7HQ49mD3WZWHwz1Tvci+MLUzsxIg/hoaWi7VgYscIsyX3X
bLoL2xfu+Nk4v3a2PpoFSaIpf2OO0nfu1P9Eri6sOLDF0rm2cxyYrL5PUjtzLk7ouzuKkp9CvTXf
W2BwDvINzjW7X9d6GB6hgKHKpbw3I/1c4Wp7k0ZtteqrAfCm6P9LnOeyJTh6eMYWWhN3/yGbGaLy
DmbK7rIkD4tZ1Xmr82czVaq5HUd21a+NvKsAgGQ8BvzsKiYiy2blnxtu2PSHD/2pwSTClJ6cjbC9
WniYLu7UOZc8CY0NsvS0+PkQECBhZVHM25Qx7Z4NI85GNUWgejrcqDmycFdVt5xPcUGGkLefH2bW
LK9hdhKlg/RQ1qwtw6HZ1lGN2TIZohOOlW9fyO6E+SV89N3XBPbrTj8ho92Tvcd5Ydxz3Hew4Njt
uoFY8sSGfIeBfTB6jvpPUn1J1midOYmNyFXuEc7D0zzQKmUXfYPFH4dtXlfHrMlfORolN9vq+x3o
Uo59ghx8TIf4DlGCNJMlX9iG6U2A2Ia5O2/OpA/qg0XKRMz4rQAms7o3eCyUgZg2eWGWK75eWLEW
hacb+nimvTHCPCmnjrpTBkMeunm9lPgWBzrtmGbXUyi+asOXm3Ys3hgp/+DUKLe5AeLCBB6iUPUX
Dr1k1DzutI74YjhYb6XlblXglde6pQbCQPtYFW726fZa3WKiBitHU0ocsuQgbuseOmWZ5zAR5b2o
Fd3spdiY5fhPCVMdJfpY7czxw85VvYMzdgpS/7+MuPe7SZGJzVCzZhtOgtTyoHNpcX5eiguO/cwn
Ro05rfSBmDDhuF2LGWueNuQR2L5XHgISiZqzaHv7kLis/GFZYChJWLnF4IJGm9wObFFaLitnnRf4
/E3sclUSvgbgPoFgMbWDNRYHwp/fTYM05Q06u0mPgKvfy1MtQroWaZADGMBsGPC2W1ZdPBxqymZV
2TuL2RybE6XipFWf3jMZjO6eBdvGVjQFKY3vxjCS+WHXk70H9g/Hcsi7dTNb5Odnnb2mYb8SHENs
DrefcD4PuOrPXlPnR1mxA7b8Vqynrmqwqnp7HUsQHFVtv1C8/vACn7Q+CaYl341qURi0MFGQcTEk
aLkuBp5He0y1wjZV7Cd6FfBl8WtbF9jPoJCL2aABe0jJF5UJvaqtNbLeGZldItKF+x8bo+3ne08x
56mcDN4YDgfxfJm6wCJwL7rlXBrq9HOqdBOyQm3jT5DEmT6mojl7VrErwd/YCaVEUeiae1NRW83C
I2Uz52+zvIMqS+MfDFFvQfiXcrO8iSg+ZOnS+g5KKnB4HGujYx/ZtTBa8Z9BpWt5tLP0O7fq8Oh4
xkf65HYOgr2AoW1rB/4q4GpGB2+s4XfvIOCDvSWYkP1zWxilVVNdtDYBYKcVerwsTqWy4m3tmS8/
f1Tf+rvJMhIOyUzKBgBpzoaqXoCamld0Ab0GgO23SYWBO3VjLNMe+aHM8S7DcgLpReXpxoTHgWpK
5k8IF3aA2awq5Okr33MUy1kEiygoHkQZFlbgEFuvXFQ03LI8nLn2xvBmj1l79BIOoMwNqDc850AZ
OFe87qfBaOdD3oU+xC90xCnhQBBHzbfqqWcrYvxX2ii3ja6hLEfRcYwY+omXA/Up9Dlk/76E9b1G
QktWzji/Gx3P+sir1d1ou32ddtx3Q2Yd1/Tp9IhhWvhhwqb5STLv05xe39KPSEgWtPqxOJk7kvjY
f3hI16m/EOZkrtHk/CIWnyGGFoL930UbcajyKVCdB4fMDDf6ZLbPHZWHy6Sn9rW1PR6VwrwWg2RW
j4AzBo0pzobwflMv5yxrB0dHGOBtRGTALzO4oIdcYxmmYIpbN+72jIIoILX3xuL3Bbc003nUvLXW
XU/g+3pOWatIj6wc0i7cxIGTbFNd1ssUxJrJAY/n25AeIvgqfFM+Rhs1oRmoKyl6iIOxT0rZlSFd
7BKGGGyc33CvXWQ83RxNi/B/HWHYcdCfKKUw76oN7WKRC2o7WEjQlgCkYEVtKVdZTTMkHZ0FrYM9
U7Nb4ux4PgNZI579xgWnlmDv0Vn1HMtAFraV4qQsPWMTt4xdUvCNEoHPkmCE7wgXkdQL7RPHPg+a
deY2WI+mk6LT7erW2bQeMDMt5eyER87e4yJvmIHw/ZaInEF5TDtqhWyCfGt7EC51Rmzsu9o7t5lJ
IXUqy0MU22/kPd1VEdKU1kToOh4KkKuZ9yqCtljk6j0Cz0rN6FKVv3fsPt04fogIyKl15NmgBvoz
iXtky9F7itWJvni8FfZynPvF6NKIPZXEnY2xhVFnUPdFDSx8lTAqtyUZgIBnyZyZasex29qEFqs7
3dnF1huhIsF7h3aZZCh3MyHYuE2NTTvn6cIFzwyWkt0GBRlkNc88pE08C8CfdIRpVrXu2xhHLLsS
nBfePO9BAWYr+jEf1MWy+3bGP9SkQJdw1HbmOXyKadNlGljGKW0CxQxjzClKaBXJTI8EaZs06O9g
NbcBk3ygO+fsEuSGgGS9zFQQROYrGYcENS15Fq7Z1ZFlxonozbynurZZYfoqNhnr1ylEE6GDZZUS
+qAjhAYtczwmgw13xMyI2y+Ng2fG5k4a4lKFWfQuadKkyNzvnepUJvOvNM2tqxOggbFvOLjuCHLA
fGLnzB9nJiAig3TUOU+CvR8434zpwR4wg70yHIhbhgz+ekC/jkFasTCq4rtn1dvOO0TOuBGU47Ec
MN11yI1oVbQlVh2N7axo2reKfxiTID1I+8uZPCq5MHIck/wrZ+FDVT0WQy+LtjZ1qDtZTu2mgVcb
xfDI6UZfhVWiN5x7f3ddNRzZFUKQ9mIQQhDrusnETprzU2558A5cSQcnqn+nVHVf+oZ3eICHFswc
JOo5sA7C6jHG9R7FfDHbMiD/1CWHRLgPqWUcCye1zkmfUs/F02qaing7x/rfOCZ/8oySqWLkiwxt
Rx5SYd4ComEXiFk0AlQIdUVVZ6fUnU9kscMd00K8Z8tt4a6t4+3A34xqOLbOcNcQ52ulVwVYl2Pf
Nw9RVfVxwvD4DHvZS2XRnMfPDbR7oo0borkrHJqdgu8ho/JgYqTYcpQKd3OGwDPmUXnt/wwiifeV
YB0+lefgaQHPOGQ/YQQmWD0m8K62x80Y+2It8XIQc4cszritt7KqPmrd/okTFV8c3/5EuqCVGLr9
duRxixWsGi5qgLNoRV/0R06r3tP5tTD/h7XzWpIbydL0q7TV9aIXyiHGpvoiQ8vUyWTewJgU0Frj
6feDB7uClcuZnYs1o8HgMpKBAOB+zi9wDc877UDiM1/HAyiTsItROI0xtBHzvm/Mhmc0zX10/zJv
GwTGblQsBLaKXt2o1vjIK6K4yz75Cr5NxvDs9XkBE8TO1k1jdDfu/H+oS1TXp0EztmkP9VER7pvd
b2J9Uo+t2gN97otuMZiGeUoyW9vUKastE07IWYDURQdkOczrB913onNde8rKaJ3+Dt1IkDcOaZCx
JQ8YNDwILFIUJol36EIoiP2YEuweh0DsihmbSdCx2k2989UIUMlOBPKn8GiigwEDf9sZwTn5Quiz
Qz+FXL+ZtegsdykmF9oQL4MM90c9XwbAjQJwtVu1qWY99Rq1ESN+xIDZPjgIQJlhNR5YwD+1A+rA
PpqxkfXScZW2eZa+a/NTJovcWyIiNyhT2vtY2P16QlDvBjvd7pSWBdt37PzA3JN/GjbCinH9iprX
XKjB3gkBdSQtqbk0QIct1BJl07IZNoL8HAxDdwxIssER2JRNYQLEMKeDKYZ7AYPw5E03Gm+vfWm8
ZZBzkUieHj003wn7J3w5pp1pu7IX2w4JlLsG02OgGixPUZ8+6Np4G7mjuTEnNjFwjQfE6ZepxfZo
jPvvTiqQfiidGi32YDU4wMAAgvKf8RBWtJQ+2TixwsAkjAh8oEZhmdBLJgIIo94ik2+9dhWIlxJC
d2gh5lDoqb+sWL7tkBsnrux3X7CHQB9CjRWk07NH1kvkbnu8kZHKM1YsVIwtTJyDqhbfbSf0wTtV
LGcqJNpstds5ZvsEbg9BZzu9rVrcWovpU6DwfkMT8ZDEYjcorgDGkhLLq0f7EFTNDl+G5ogEB/iE
Yd3lfHFdwW7A4iW2AhIHeMvzM16O4PHUBKg+Nz9BjpZI9diHP9gXkF33YywVNKDUYtoY83Ui9lis
x2XVegVbmuBN4CFxhmmwUH3L3y2GmEhAE1g70yrIByoGLkGo3I5IAZOGX7pNNSwmnAzQw+dqthAi
EKBGcU5LokfTqp2ta6OYE1hGcqt2qHvpKEE1xcBHjjHRJoKattY0B6GNoNf6EqmpCRf5qa0IT/XE
kxGKbhGWgijAfj9xTZTSknojurgFnDdLxui+f98G3rfArGxuwhIFtyaLeYXms1a6xRohxJwVRdlu
Ubquu8K54NEukQWKxRSvI52g3ohgJ+bXIAij8kEr81kK1n21q6Q96fgf3bh6/ZBGAPFyAl6LNIEU
GQdufu6xK3MKYMbl/GyIqk08ZuFOFbq7cyYl2zb+ENxqOcK8sHPRIeBXhxAzdns1eq28WB4zw4Ac
pMMEigTOkFVE3gCB2J5lstrzH4UCEUQCsQWnxc7X655Qs7O2LWGOjCzRmog/7+c04nlv4a866T+i
GHYlfEIn6aOdYgXdtouSdzT9LAtzO5CPoOewArZ0vAVDP16J/NWJ1WKHvkF58vF2hMkfAIcjt6jl
pF8h66/xXzk2Zfp91PzitorEpuyT6Cmzt0p8TMNUnNmrY0IAEHuLxMXMzA37NVlkhKsRrUJmm+3m
EG4c7rBFKOpzqmrqoUcmLAkgneBAhpBhbRDRi7xyUcKBWSAsqxlQx5DoQq0MQNUCuOHEWq10j92A
u6XiZrvMj6ybKB7v3fbOBvG4MMoGrzinWMe+bu9A0MSkE75OpFNJf8JqVvwmwwBL6ddI2xF9HbV1
q6oBtvUqfjjjsBUDmNcRyOeSFBG3SVXtvaL/AUuhvEsN2AKVVh2RGcqe0X4i7Nw/+xmmS0OOiIBp
YaSBzTqImyF47N2YjDUxPjK3xhMAbPw3HaL7iAceFMVHOg8d5bGK3V0bKbu0m4pljcHC3mvabo2F
mTqvPHMRhMseD3cNAsPRDB1jFRTahv17Qc4Z+Ux6odE4Yk4jEPEe2B8vMZYV60BHEt5Ps1vwTOUy
jFFB9VGhgcy+DI0QCm6FbwrsTxPGhFaA2CbJbwPLz1s0XmMPnZtcbw+BYTypExEca8JciKWOdxNb
mG75fCIKzYRCIEmZ50RR2Mu56aEy8/vQQ08LJyU8VKYOMQev28O+Dx9UhHPAQwyLSseTDPfHkTgA
IgGV1TsYdGQFQnDTGvnWgW20rqz6QANR11fPAr0a1ovBg1tl5tbXNMJdGrFqeFbY2xKKx75tOnPZ
ACmqBD14w6Lvi5tThsyh2gUnuBvQU1kfhWLcZaV97/CCLsbwRS/Qw4jVfGRNh6CSKcS4SkZWbHx7
2qrQ9HHnfjXAEy4Ku7G2iJcu/X7SjlqpvOd8f4XeTmfHNMOFU43wiZLy2fNi4gxKN61attDnlLQS
KxxeP0Flox1tgIfDsCVcj2TB1lWA58SITRyPxMGAIh/w47dwOQqslJfAlBwNuyR24SNFO8KkAqIr
mm0s4u+BuWwNVT3VQSoWpJi5xH5S7Mahec550PrjO/v6hcLCl28ndve8yLYYGBp36Ebv5o36IgiV
/u7UYnYICgKmrxU2MEaVU2HV1leUucDXAyEf8z2Jo5c674eT7qiPqSbuQg/+Xdsl6iHwtkkz6ntp
q6z0r7qNc7geKyObd+JfpMOTu84zX5yw9/Zt/NikQtt5Xf7eukV7aIvgNU70+pjqc9Bt2lZogoPf
GVFqEeyrxrH4JOocEjdgKBuZ2SlgW17qyDqW6lkptH7ZAadc0tldV47ylIKgvUEA2n+wYdasZl7w
krcqayYU/jUT3VawIrMTZjyuCTk56IijceJO6iLpi3jlKnhn2jUxTvyAeBqnVg/YPhz2bW8GmyAP
XvvK/mY2XrZDOAFFcnNmtlbIICbj9C1U3PzQGjAC/NrQV+xUkFML/Hbv5rkF0BWGbQBtEyV6fZEW
A9HTQHvAnVHcBo3AlqdBQUDw1O6FObEFbYctrszLbBD2re20j1FvbbsQ24SunYYV6YYH4bQ2/LqB
y+ywIEJp1t5OwIxuSKdg+9U4n4vGAfwrSrKNI5iiKHofNVEd/VQJ95rlbi32LQsyf/FB9YqvQTYi
alXn71HRoAPIKh2XiFZZoPyPKEiHGR0OogarIh8jbnT9dCIIRwc3PkBm+Wtk4jEYtGK87F+URM02
g5o85X3xyO+xI4TNe8isl20xeW9Oo2PHyPpwqO3PmTJ8qxzUut0USQTC0Capvva5roJZCSABKeU6
4edtJxA9YCHt88V4JllllxzBoGhAPrTHEHUscvWgrGMo0ctOcb6EGjFmoRjBAsZMfuLh8N3vtV2n
Eh80ANujAtojKKuSxkKUyVesV0IH6OAVfreLk+Gx9zBAsENuA5bd3aFNFCAlLUJZXASCRKkYZikX
XNoM/b5zTOdGRb0VS/oGmgze7Qcr48k9ol8BONPftWq6qathWQe98mSI4KDYVnzsdbRJUNpYQXgi
uB8bJVRMUDckfJAyyE1M8lpH7OXBrdlyCLDeACEGgOzSFnEyn1nZBPsUozvifG614G1061emeq84
iEhFDXaxvJcIIQ2PFjIqNy0o49WkOK+gED7lxfuoslZXM35ByJWw8cD6FUGTMlg1I8DqQdVfxIjw
mJ2ot4WNBi737QC7zJ0G81CiErnEgyphSQlRjWTsjZpb5tYuxh6PoQoDV5jlyzYxTwE/3psUOaNN
hSfiTRwCDCAaR76kK0/sJUD5evE9MpNkiOvuTEzXvXF7ByhSn9FpUqtH064+w214QtMddoQRYyWq
4TZfF/V+mBAS9z3ISWi/4OlUNioBPJ4GdeqStXaDnWW2warMzXqNQgycjlKIVTl72eJHyE9gAFMP
JIalQTred/MhCgkYx9VXq6jj25jowA0iE87CiAAUdvFwqFk7IdKJ1KjRdQgGp/1LXjwLV3F45owx
8dk827CNqCEl4BFRpurSta0EFwsUFyrHOSUJuyrsjMaodDYQNO1tFSO0jfU8yNp2Xjp41aHq0zv0
b1kpio71dFuYy8bou42j+97ScxAyiSpnM5oojXZg0RfeUKV3trdFeAhci+FEN7qt3SGVVJwzrQba
A5R6G5u3OU4P+Npp35G06DcRQXirckdyPW1MLs8FIAIFLrXR6shdBFGCBwQt/GeWU7sAoRqv1cPP
/TLx1S8m6iz3Nsxofd48mXW0UoLsMQOGt+0BDh/hrq4Jbw33jQqWMjG4VmVQb2LRuw+5wVevj7z0
ICdEyzaHqOw2eYAIg5ovQjUYlxp2TqeyApNdRxib5lx5TffLVaaP0w0Ka9Xe7q0nm5Ta0oVis3ZL
baWitOzySm/bYS96/YdeR9We/OANwIia5dV0XxmIVLposZKax1I1MdnnONA4sNRikYFdFw+gSTlp
PH23griCXiQw1d36JbLG75rvYBqSgKzrpwlkt0u4oaytb4HjV6cyDF5iXFoWvu0hVGFACsAYvUaT
ZlS2o9O9lqBbFqZRzkBQ8ephxf044onVwRSEUBHUbPVCWDtrLBQruDIpZAAvBwvWsb83Z71O8m+F
07K69/P+yEv8noyNsnFzi7Sna2EnSObgtg3jl7yfIyykt9eWCUNsKNnL+y4BJqNWgGdYebop4TDe
D2unqvvbjPikAdwj1OHuVp3oFoZmB7sOFaHPdT6eZ+Km41RgIeJiXAaqxQap/WL12Q8L68z7DFKO
pRLJsSP3Hv3ncYtuq33QC5x7eiLnKWsVElBbgWM0AQClvdfi+IUNv3sDioAcama7bK0Q+9exIj5o
giWq63l7Qmd3QtceFE8EJyUfv7ZRhPe07T7gADitsIx9sa2eCL+nLq2GDY8xyEcnMiGajy09e3Za
H0NPHVeRFzYbU0UxtvWw7gABfuhTBUinGaH8Zjw3mQ2ZugB7DC0lWgZNQESpz/eDHrMkcPR1ygOl
afuNF6HYSqrb3hhV/eoh7116QH4sR0sXee9+MTz2iRrLyYVboiTlq+qO1/4q0ENxIu29QqNk2tSj
/z1opm5TduMbCdRpT/OLr+X5JgAeo+rwZ5oS0AXjeTFbyEXhCXwMMJi5yVwLNogxnFjpzQIEISab
aGyj+2SiW+4iQY8gBJtHgUqxriWfeGpBJ42aGyhCADqnpTmaySmPe+tmJJLUN3n9znVdWqU3v0aa
iDDISBRpCfXNO5QQg1deOoL/MBVrjZ4b6X2PH/lAQHppxLNZROACjXRGRGeaZsS/LApO3BRv4IX5
3QZI1GtdCTyMzTv+6qGyaYb+WbCWPoTYM4ctvn55OLwB3n7toyY5FNAKEwyed2ak6qsIN9em0cWt
aRaYGqjaa5uX3zXFVTfsw/FJRvCc1A1fOhZf3ZzlGs9cNxiPi9qbzekUZAqw+KR5hBMBnXjPm3fW
F9M3pl4l27bVH8YB591Iw8xXK5NoG0Dn2JWO/Snqy+G2MN5VxyoOYjJ5LFQI3Qrwa3VVQQEs237P
opnIaaxOS7Sl9RVRW2UVak1BzBJ+mKnXJXF2SO1J1JFdUaPN1IftpgqbdNmMCS+r7hHAebUfEf9n
QytISlgViAMXI4vQNlAbS0UPCKdtF0NTrmuC7A8Z6amFitFYKgKID3PSyuuQHRt9e1+5w8bXnCPh
prTvHN4jYbQowExhy6fc5B5O1gX6K2tFA4w9h2/ApWTYkSBH2rcOroqA2pvufrDc2wo2GcD+fK02
aUBo29JuezS14Y0sa62YzYbtN4ABBBPQMSonxFnM0OrveIHUPwgKf7OMAP0gdoc3vuUZN3FPsMAK
/H1bAP7CNo11QGtBmPB0fAom95s2mbdjiAUZ6xZYwU7NFg1j+dUoauB+ub9JBm+vcL+gObUEB2Mt
46FxVjm4bytp7Fuwy3ivWQQGUqu+K4Z+2Ds5plc2doOYlsAugJOMNPUtpBAA/CpxHNMQW7XL1T2G
jMqtRqKTaMYx0hAB54X6WUWcysTZY6ELZM6qqk/2uBdgUpzCQBjSGltH1pyeaNEr9EYkbPtiy8YP
pB2swQMgI2eVkZpGULmtXq1D5aAjNyHTtImL5kSwPFqhwTPg0mQ6uw777IwbdawMZFX6gQ8vgl2E
XAXBqkwAhrIsE9z8EXV4+ygC/FBrXfmGArN2pyj1huTxC9Da7J6thcNWG5xnaOBeGviz+awIdkmW
bzzuN/YliCjBAdvLQ5QnLJfkqQ0SBTAoh2uzrLsW5Rn5iWw/ePa4wmn8bTRIkwNSZsKcPezfTtEP
SiF7hMjATgIFWFmWXeWZrFOQg4fL72VVs9HdsNi7wDx3gH+fIOdiuPXX3xMCSV5UI3S8Bg5BPigH
U9f8jY/w3L4fpwyJWifbW5P4lmtzuLIOxI0rfHwjdYjw8gCjCl2hazmqrWZvklbe9fAV1BJin6hU
1MfqADKEnLSf9Kh+1eap0VBC74t0ULYvNDBL87aki8pVZQZtvmUls0UzF/BQjmrfQkwZAtUW2axp
4c1fmPxi5Vcnz+Th0gmuC5fgci6rZf9r1zqKrO3AuzvHUDPdQpbNwJyKNJ2tlvnWwQw2j/Jb7Vvb
0AoMZ/jaiXdCMLrJjPJuBN8Sol/+4euXF1PWXS7Rtfnacq2TZ9eDvC7X4od+eHlzzYkce8DEWtgr
KUJsXOBrN95d9JDlFu4WnrHzH52k4CyJJhMhQweVze1ceT1cfzqyzm9bJAOuzfKbuRbl2YchH4q/
/Mev47RuFjLGhww3xHh4ikzDmVbyF9DYOrmcTp1Mgq5qWO4bMSQrebkCx8j21wt9Lcq66xW9FhWF
XOrN9YLLlo/jXMddIoUR3YSzNDOb8UJFHKthbTIfKtSV+D2nSk1Keq5wfdH8PDVT4SBH7j+x7Mn1
Id+LsGAEwmv8OOdTefCQg/61nIbVY9I26fpyfa5f1y+3+eX08u2CflixXlvZyBWwPK47f0b4c8AT
jDty/pzfFX9XJ0fIBjnsWpR15V8zqz2yXqrS/+hi93i5U+U9KQ/t/CCQZ+xvuAFlWd7Iv+vzu7oI
KTF+uvNdLg8fP0FWymkvnzCjDUOk9UGmViMMFP7b12sqb2J5YT/UXYvy7MOw39X9l1Ndp/8wLHBt
Vh+mz95gfkaGKsIaP0/ncjf/YOQz85cW+D/gAmXTSIr1Z39ZvkwiZ/pr+IhQHtybvyrlmd6VrHJB
B8rJyzZo8WNcSdfX//11+A//e47a7ejnWf2v/6T8NQfQEWLN9aH4r6c85d9/zmP+6vP3Ef86hV+J
UuU/mv+21+Z7fv6Sfq8/dvrbzHz6z79u+aX58rcCGICwGe/b79X48J3/WCP/Cv4fc8//aeM/vstZ
nsbi+59/fM3brJln88M8++Nn0+7bn38Y7i/uuPP0P9vmv//PPxZfsi/fvnzs//1L3fz5hyL0f1q6
K2xVVW3yGLrGVP132aSZ2h//AAfWBH/+4Rj/1EzVcUxwRSZnFga/dU6W788/TO2flm0ZhipYa9Ag
/vj3f/RvF+x6Af+RtYQpYGfXf/6hadrsy/uLlTBQD7K1VJvCcC2NP4r2r18eQhZF9P9fKZcdbSDH
/6SgHsEvc40Ae/isz1yDme34V+HfLVpn6c8UYoyGntW5WzX+7IZIHCG4Ge/aYtpLvBk1CAylWAgh
8wBiKdrgDhY8No0F/4pWWRIw5B+x3fi1R1x3lx6yUXYD5odJHuypyxzyE/IUSRSEOYky45sNahlO
NNosDpoXP0/h42xCw0h3KeEUNJucgZA8W7odvufmtnMnB2ib3iYLNCSwU+sAaDey3CnnqHTr+8Tt
iSiCa12SC2ALn7UFViQejkACLDBJm+IT1FYcGHyR7GUr9NyHUcHvN8OLEBhZ4DzaOS4bOMSyTUo1
+7EAibRz2zq9tPZ26D0o7Um2yf5ujuFtgQHwvjcb55ENprvRheYuUiKBtyP8cAMg6r4F6LxXqpLk
+aWs2b85lU2V1ld7eTaGokrIo1G+nPbzLK6cRZ7KWWMkZxZxTeyx65V0S3oVs4pZjglOvXnHVqs/
FwRGEGYw7uRhFvcpUG5Z4ZKSH4sQQrXwHUAymNafAP0AHQFTS9gBfxUxY0eQM4Wc5OftW1+1T8WA
jiLRsAWgF+LdyOlttLa7DS2/vrdJ+t3XtV8f1Qo54bnE46a+z2y9klVkyX/2MtyiPhoM/FD110BT
b4wjBLbmrNkoXKp1mR5z3YlOBPGAS01994rJMkBc3foWW8pD1Azpp2vXcu6KT4y7DEqve/UNgDt2
Yn+Dq/QQZU6M2Nh0J/HcpNWqky5S9J2ShkANpWs9RLgGcQflprem8KJMpE5FP5BGAAou+5nJ8GPI
3Goz9C4NnRgV4C5tDOhAyRcW8qtna5YRMAoX2eZJ794btKLqsGreCEbpKzFaLdqsafjgRhPZf5F1
7xZ8SkSH86fEIEjp5GQwzKZxiUNrG9nhOjeeffxhhfn/mLtEE/+mTcJsPfECwHTZxhAZCsZt67BJ
GkUG8SdVtHerB0puJu+wP/ApjHr34KRsbuMYBYhW9cIzKMNxVQn/ZzYLXurPM1knD90Ixe/md32G
JG53U9XfOqmnr1Q7E48JYPszuJX7HsvlR1lVAwmtujQ8K5EqHvE10FdNaOorWSytLDi7g30fxDQC
Ypr2veWd4TUBj6iQUy3HRN/niu/CNiZ6fhyMSjvaIUlg2Zymhr6/FGWzlhgw/uaBskXWXZovc/SZ
V5P2Vvx3jeQ7WwftTbhqt+warTkB4ZqOVY+UY9xq/edCA9RbKeE3xYPUR5aKfBSoxg0h2mmLOmX7
0DpAxmWXv8+mwic6ASCYjn4ce0u/FcjUoPMal11/Gg08JJKuhtujBu+KG+GiCKWXLXE0ni0x+xEj
jvkeOcGha4PhJSzwbIavOGxcpLot7G1PtdE0x9FQz2XaKChzVpN2ir0QEAKy7pGjZvdgMv1bk0iQ
rSHyLqsiI6vvrPgkC3iE8Txre9TBQL3ADkV1q3AzfOrnM3lA6rQEU4oF4zh5P+tkgyxCQ/1KGqdH
QK6xTzESz0tyQukcurZPxnwocIEH5DSfnthG2ifZUzZdO8mBXgxWuI1D5+cY2VFk+D2UzSdUEG4Q
EyveI/LpBHPQpggSR+z6Mcw2yqiaj6Fi5URZMutb0mG4Ovf18/jXvqGl1es2Lm+zgL1DFgwneeAB
PJzITsbjDat6fz+3yjrZGs6tgWztMghIKEZdxoYjUPebtPci2OFzizcUlxYRVntT7fWNIO+2LwO7
JGlgkseQp+AFCm0lm+QB/BRuvpeuZvGz/7X5l+6Xnj6yaauaZAjv3qF56FT8K9CsmyUMk2Yvi3He
Rgix4ck7N8pDhdrQxsGiAqDxGII2IKJjkKe+1Wveq4mjO59h1pFqsePmiHReCIuyOQ04a382yg1y
INh9J3bIWjmrnyO7OBgorLyhdIw1YNDnhwnJlEcdYqesR4TXhqjR9sfG76KHplS/irm/SohyYaPl
f/KcHgHlIQOGXQzWW99DOSUVn91iAhfdYuVs3hSD/QBwf+d0KAwJBQULFVXqyPDROJmr7Fz1jtei
PJN1sbmxAPZeesnRsr88XHuVOJxh/FptZb2bV8bBSicS4eawiOoqfPeUbltWLU5v5LQ2why8jaW6
44sdePswrZDBNDaWkbbpVyxES9c7tJkVgRQQwSruNG2lKGhN+Zh+v+n5enBF8oWENYCrEP0zVnHp
S1xWO73O0y+WEzwqTXmy4/5rhhHCwWo08wE13OToDt3nrgrEAwh28QAOHOUqqDBg3CDVFSWqNei7
KAdlhprLgx/MUjbyNFDISKUlyWuJRL/2+aVjKLuD/Ko2iVl+jQIcJDsdFrmjqhnSwDFCAqHtYI2q
oKkAChOrCbKTJL7CeiV7tznCd5feU5eidE8S7yYvggLVjltxBtGQn/kj3AVuHcZSFjW7ys+1MwYs
QdT+/2qZ5mbZB8taoGNRRQ5yXgKmaF2x/vzbXBkGhBrGnAwpOtZosuelksc+upH94EJmbdZWZydf
kV+0gfCP011XaWKfZoqxMhwD7C2GPA06UZceEPlSVOnyI8yF5gGtRjgHkeLPoKz6QRWNch8At8pQ
0QZmgrd3OnsSy8bfDSDTqtwDVuYVoWJl725Ta0Dii2z5cZqMel0iiHEji7JBHkovbo/XfvIsmUdo
iQVDJgMYfW2VDddi71hGQwCYD9FEftC00N1e57v2k8MaPLX7bixOlQB1jX3egc0TV94m57QycnSV
kTzFG8EeBZK+PFMqRAZXVoxqvZtWzifQyK/AQ7o7TUnDJ9/p4Qq49qfUjNW91dQ4j869nFJUpO4g
mcjWEC8iL4jNB9yF9XvFne7M2lBfNJT0DsJDF7rU+p+Homu+aVrcrNs8si71KoQwiBhzvywjk7+W
vfmD0ZM2y2+BPTRrdfQeUxzP8OOFsbuTPSbkNurZZ+lnFzmNYVjdNiqnA8kk0qS28VaEWFQFrWYd
g8mc/at1rLEn9FEg4QekIPwUGG7gtAhG8jKXreg4IWvaF295hYSOHHuZ7tIqR7S5c6sURrQx26Hf
I6vl7zokaGVJHiTcRp5J9M1/WRfM2BzZZWLvApOKZxAiKWitysqcu550Q1jSdDmPc3tfwi/ZRp09
HU08poGuBC+WjuKWLF3r9bnxQ13lQ/gzQlgg14bObNXjdZg8k3XWOONWsRtZ/Q8657ESLWwdCozs
/OHDR4g3h7jS14FHOjiFZ/SmeuTLhT6BHgC5+NBr7nMpgvhtRFwF25HO3qcAte8KApT4IcPmTMx3
EBWgH/4qFiIhsV+VVX2r/7uLCTcXF5lAr28BIF2G/a4OxZ76tpmHxknImpqt+9qyewhAedJc7pOx
Kkd2aXyLahDundKbdTZSZUCMtH+y1cQ/yNtJHuTQitTgZaiswy9IPSJ1uJeDSPmLDQQcPNXYlK6A
dGI/YHfGp8kENZYXpnN2vLZ4aevXaq52lNSYKbYCeAky09dBsogc+odBjNNBDexjLAnQIa59dCi1
LAgBWpvfBoieax/Uz79bhrE8yD7y0AqSUxYu20vn7w2Xaea6y2ClLcpD0HG4DDbdYtWkETl2AX4f
DQ2xzftaPGWalsNehlMB5Fc8GaE37kzDLICOUSxCAHB4xn6WfbWatHiVYOs6j7x0GElYpWF/f5ms
V9FVNPk6ZPH/x0dh6eE7jcaWEwcpeShn86hLEbYKUEPUJq5Vf3UzlLJedhoZu+vQ63iBKdseEcDD
tVEA5yYTNk8QotEjJ762Xod+TQMgpUUGtdXKUNaGGA6jG5qZe7QhXErIWpt6KNfK02lygNjl8MNk
v8uQGM7MUSElKutkP3lA8d88WyGLoTit29WHBhC0v3yG7OshUnj+8DmywW+aN19vorPh4uJcF8jw
XX6s+g+4UeGLUgbRLbRf//KjrVT0qE0PLUfZi5fJ7wb5JUSt3O+/gzZWFmHtd0+ozmO8CYswrET3
hDV792QbOAxW0aVQ9fV7mxoJzlY0sXiH7EUMZiOLOkGxrZzr0trBJJvnkiU5IXMlkRk9yc9CQuK9
AzGmBbqLJkRRir3Gn60aPJpRvLb6pUD+XFeeWhvQtxL09a5o2vgZp3l/pYFL2aRGEKN6XVlrgLdo
J+Kh/gzHWMHHBd6lLKpO2x0QHgD2P7cqgV2c26z9JIeWpt7dE1VEyIiJHD/yn4e17Cc/CIWP9VBU
+amywv1k4w1jtmBzG1W7h7yq3Ue2YiGGH5/VuUrWe20W7HWshZAv+Hc3HgbqBnwfHsJzXSzy/oSD
4T4fc2c52YG9KuYVEsYS9cOI+3lRpO5JVrXIHx01P3qRbfIgBzlhbs9GFPUDv3EOqL+FMYiwse3d
U9iiagYM0snJMGUae3rLhzgcRsazLPKXBL8WER9fgBrSn71IO/8SNP4Zqv01NKvrc+T175FZvLHg
mzmmqQnTsD9EZqu4EVYS9dVL6FcjCpcdUIu2fa1MQNo5ZgTrvNTHt5kubqPJ9+opVr8VWlmtIyQk
3iz6E/X/2f9a//f+5TwPWZ3xreH9/aG/nP+vz5Xzu6bxs/88v13YiLI7KrI8aZXBSCoSMAp+/lpk
MWCMxB2ATkzZ6wCDArn65Al20HCL/5x/I+s9DTBwlMbhRo7Sp+KL3evlXYcn6mPQ4Pg8T2b0hKvM
kR+uLCqCLOzQ4x7hsM/85FZbORjCMssvHysCOXUxwvllga+uR6EhF+vVoKvnQ1nkFhoNCYp1/65C
QpHHnSz3YwxsJqq3svRLA8Lj1WqaQSVtbPycSk8x/EV4Vd340BhWqNQDk+6M9JNQidRUXhueCcZl
n9jssgOahucEpMpdpxUPshrGbI3jHMZ5CrSVT2lS4JXs+BNilsxB+Bch4DSIT7K1ihHsM7/FFaQ8
+KHsXFB7zM7yADpSydOzNsFH2CBwORdsPc3PIQofxhLpVsNLzjbKIAZYOEZ9GFC0RKPKyvyR1V2j
YEeB6oPVq5j+uUmr3JQG27HcM1Gz1kL7DtC7zULd83EvaXayKmqhxyAwOC6aONXOl+LY5slNX6ls
uMdAuRndxr6TveX8RYep4LXu+hlyetnP94YAwma5u1bJAfPn4EWknS9/3uVz+v7n3yI723ZLTrqp
zhg23CeFC+7anKpjNp+1TtI1N7KcWCMMgYgUyDag47XPdYisu3T+a5o2iMMttLLLgF/mu/bLBMpH
TtfgL57jdK7XVb9UPcGCRSuKg6+as43S5BcHechAxVzOui6l5Zfy3OfSXY6U3c15jiFT167SmdsP
9bLHxBZk+d8/jzTT+fg8Eja3imA5jAKkcNwPz6NQBI2ObJD3XMNLB+zs5NG7mCqbZT1pAJkZCEdF
XRUm1oDX1IBbaO5+VIaXa5U8K/TvLr+g22u11fVsq+SMaFsNGE9XQyUeo6lGmz6PM9RsFfMxbUvn
LnRdfE+wgljMWMobr3c6SI3G7zs3mD+YsnPiYmZ47YxPPWLYCGuGPemLfqzu5SEs9XjPO/NnHZFY
Ug6oqCJ30mDEPRc/1MmibJBjZT851e/qrmPlZ8C3Klciy4Nli+r7AfjmYpzjlCSKCVxGc1xTlh2Y
tguLBMlKFiEAmhMAjfoy5JfeiYkMwI3s7mZoKRJNM6ZlME/090+Qc18GfviEyxSyUp8jp3Ic0yzk
EGTB33SvfTciBa3+JquPTRfo+C14xlkeUPw2z/mEeIHtQhqUdYmeBwDQ5j7tUF5GWKMn7CXKzHCe
LYRruKlDZzNPmBalvhdyfrfH1+s6z2UybDzOYb2YtKqGkOKyKTPa4FEecrU8irKozrIke+hIJF96
lKYVPHb/h7LzWm4cWbr1EyEC3txSpChKomz3tLlB9Dh47/H050NCLXC0e/b+z00F0hYo0aCqMtdi
Y+WDB5Akr//982I4/3GyavE3tjWTVk0QJ9nB/OfJ6gwkYwyEi/PZ9vy/rMxq+5NqU5ZblYNBDd9c
DLBz28VBSei0rZdeYTF3AKCzf7B5qsA70Q8AsH8IMr4YpsW6yhIoKVaZLRQONdiO2q3ziCmy874/
bXOkifn35HbQwFWqHkLk8vMOaEz7OcfmrYacbtRauMvZDKl3PCNFpwkw3wnkK7BygGsF7uvt6oPO
p7Js19bFfBCD+MEUT1N4z0MAG1+gbb0Pet8o5bXIvQ7O0bj4bGa5MhUdWijwxNQ7nlZ7qEnSYah4
Elmuw6I6h9AHHVelNxjzml78w2FOb03f3TugtpzTsYR9iGXgtzoDOkkrahXSINX4BEvMaczz7tvM
QdF1aqTdUcQYLEIQ5L3PdagYdyDK3bOp8zSqc3aX2VRTGF0BtFiV3bV0s96B1WaBEgFIVAFAHNpi
GigPdprZfFNc2MShWbysEoBTK6ALTofpIb6WXDIHJ96k2uRtKrkSH7GKeJGx4RQKMN2cVhsm+Fe/
LezDHGIQ3foSJIMoQU3hwBd4eJFWq1yuL+1CsTo4fnZFaaZ/HdM73Nmt8yPuS8DHfBiy9ZntPxPQ
zx34KM4PTit+6KWev8IkW902djYCh2Rm91UQ1kdlTH6nfco9QTGUP0EuzqBQxBwZJlD9i24zdGkO
XoTvrL7gE+dsJQbFKVUd8AknCtzFVwxLXq+w6HCcXBi1zNZ5npLIeeblnIIyVs4ixbRoPVU+UDiW
1caATPDT40beV/EHOdJ59uhbOw45xHQSIIbS5wnA5gj+sOU1+rzlDDwfTvzsg4kGyoJR6umZTon0
DPoUYEPa/B0CiZRz3p96tnCyC7FS6bHS8jI/bH7iPDiuDvvRkipOOMyHYOlODJufGIsO/ON+mPia
3dd/0xoEumtvdYepnwDLcwFLrbomuKEmeIBRYrGyHHnKvXg401DsvkxtZ51AHl3KrnCWwVINgLHc
rr4T0Z9H+Gv79g8JKLzAfdENlYdQ0EhP4kGLunKOjf685WjocudxMtKOikPeiJ7NJ86trzYPMw/c
PcvCmA5lgF0D7T4LddiWDL+9he7ZoCjvXZarbfgfPmIW7zXPJn9IsYly9a9+mpFSvtp7h1+5QVP1
dtezEv2u1I55XSiKeS+DopXW/WgG1GGKPCrtly6cjOMHF6BWEnaFdbybWWlOtJpzXv0zy5bqg05N
gPcxp07dbwaZchO3WLP6Ouisl2WWTb1OLTKfX5dmWxA+RNwcE6VrwN+gvSJXmvQAg1Z5BE+RSiIT
fFsRK7PT2C0AAyCL/RRIhjl9NA3FuYcpG3AEJNFXVWrd/vefas2k6uqfS20OzjRH5QlRpbbKcdV/
/lRTW2Oy01lOn3PQhk+KmTzWION8c7ibqx7aYPg9sv6oZs10S3VvDMW9qi4fmhG6czbjWWwaf4RG
ewUmo/m3KS1NfywsQXew9VkNPPIgaWV3YdJzqjMFnBPLpSjF7YOo9B3f9aIU8xYtOiUmD5lLL5qv
GliC6FumBEqGPoGmbe9ICZRCy8J14GrQznTj71SB8Xgtls29FJ9NOZnzc5H2NFUtGWcgV65areYs
sahfQ6sFgVh2n5d9aNnCXvR6DcKObE3LINvY7/6bSq7e9ZJHUrzrtzy57JFPbfsaL3OKh/hK1KLn
7Du7jejnuNJtxVp++PM7GZT859UHXRzBYb5LUjqFabsJcTchBOgBdd2vykSxF1S1cn7L9Gt59ZXc
kkX8aQH2TmAZ/yP9+y2JyzrlovOyksL4EQRQLSgicBig3JChywHLZo8HOS6Dn5ebPffyH20/JNeb
CrKR8O5DGrF+0HWSNIIB+X98cjz7P1aFjsYDKUWNFBLqKjWN//zoZLVmdmACBp/tDEIV/9M06xS2
2XRa7ptCLc4g2hfnvu8/w+Vb3ihaniZH0SXtMByL2vsDpujqzRlsGCgkfWP8rJR1eSMJQicE1Tgu
KypiIfGgjVELr1LWwNe1rvsPUG/6D+VyVWoRwE8c1gDAUeIoSjE7Jn27wPueRfqYRvzWEI9S8ps2
xF0zx+QWwOHHePBp7Wno79HUHOxTxYDjU5vuL1Ti4nIseYw46oE7sTDPottiRRc0CTgFJV+Rm2FN
KnKW/1m44XS/qopupgpwtMHTkqw8g5YgE2Yl8LS2d3RVTic8swkfB2WBi6vS+evo+09Q4Pl/aQOQ
WpU5/chVzqt0v2X92kQ+gGaAKkA19BaUwKn6Vffdp9bQ/khSAy7A5aiR8gVfU4v7oOMIUjSDHC/K
JQBBOUhydH6LKD6DEtr3yrgcX/auyzNeHtb73h0hRjTLqbnzAQl5u9QXWZQKaMLr1aajcOhgB2oO
IQvGuXWaO7lac4n8H5cfXCW301Wg2U7q8SJEDDIVwIDBbgxAx0rVtKSQ0S7ZsuIEIsoBLsgWbHke
QWdj34aA5JqZ2kPbBRveTtzFzmsDCrkFVKUPnOc2AK6UDShYI3I2jB/0gGZm9maMK38qRmqTXEU9
+dT9rGKwYHEBO7WfMmCFRFqDlXbpR87O6wb+0JnuFSDT9b7OYfE5RlOV34RRUFXBIeuDU86SLqRl
d9kQqEFWWOVgZMUf27691+MMIuNNHrSk5m3TgMnZj9/jMa1fIqXT71WOsiDjoQ9yaJvvFNvWMJSk
+n2i8U8GC3L6Dmv0hT+rkwt/da7+GgMFcCT2t5obG06pY2E5FPOAajY53duQQ1JGj94iD4Bp07ut
z6v4wXETdacFlKXmiE7CNkNSauWwE3lsU55+2fQ/rMqLacSujjVM1H3rX2+3siXadOxzUv5nfvZn
NbvO3bp+ChS95ik/KU5eGcQ7h3KTVSfWCF5M34vMu86eO+CE0rS9rmFDuBI/RfVaOmudU+ma6uPq
0noJ//BJh39yyewDUvDUqlVwVpyZZkGYQCz4wg9pV1pAzZbTd3gjvgI1oL74mdFzpgoTQmAaq15R
3fklyNFv/g7+IQ2Fq3/H5xTGltuqNBuIyG3/tyK58Sj0+DInA++wCNrhajmxzey+vOZdFR91uzK/
UHy6QHdG7XuQeNkBQHsSlFutQSen3t5wyL6bGzNmGW9a9GhG7rdZpW22cDyflsXZvlZVYM+8LLDu
WHHr1yDtZC+VB8VH6/vuN78aT5bSUm5Z2NZrUATf6ZV0KbRClWZsgXD0HhycRTQGL3+s4uguDW2F
TuPSPQKJXJ8z3a/OPYBy185k1rshgoYVPCqUVgxllDFU2o3uh7+D3uSesql0XehgWfzBvnK5UFxX
iyz+xG9bFIpvNfqXvmJdFpXm+wJ0DTfMHP4BfGU9Krr3vLJY5TuQ+ZV3v15VkN/zySJVlqEf8olH
XQGZCsZzfkgguLiXIdBsyGSdUz0NbxpgQPgOnpOYYpDGL8Hj4W+13yLy0sW+yf+WQTICsucf+cvz
qMVSN/vDN4bPkxKMd7KnKbubm0qz+S5aRDimhrvQit/EYQnYRIlXzJ/WNd0/YzWNBkAjhbLH2xWF
exM5aX+mkZlFkAIRN5SdLxpnSscw9EAfWUQxUIqcgAHFSYXoZIhTUGZGToVX1c9EW9C/JhpL6qva
2PiLE0b1FiYcB3B1dmgpk3W/R8F4ULXO/tNr2r/zbgg+GxR5XUdOrK2uYZhcuCqxv7o2Fmekm2s6
dc5DQ1XXvqumD1nF1aca9FpuIIqi+obfgOFqWyjMGeglWaNqB1ki0J5qOVeyMrhYPVwsNn59KfmK
krftlmpdlsgyRfJBQcCKRS5p7gMuqeSLztL5u/rFTInmaL3KwHP5b7CSN+ekTa3XzIXahl7w8iDG
LLeNByvULvznuP7Ng9btHJ9oNV9aKZI6/qwaavuk65rL0vALp8HlF5ua0AcwgLOdOLlNmt0AE50A
1k83Rj2AJ0FrsHsah7n44tr551Rlhya0CvfznH6VmHkY31J0itYB7e3XxzbQj0BCmX+3XnvDVuP4
g+LvAJyq1Hxpin661kG450C5dtmTHwH7ygvlRQFpEuhjx/pRE+79DPfDePoYTsOidp13nrJT2L9I
AlCYNK3yXCrtXDpV/arjk5rnT6vy3aeL3ezJTilzFL+m7hbWkV1J/74XGJ9z3r0Po6NRN4OUqcb8
MJTmVyNU9dW2SKtnBg/pu2ToHIcHeviY2oBcLDWRF0WQY+Bm94tBdFLLuLnofZrfuzwLVGzhr+WU
4iYeYlRV44o+eZPacTbC6yun5ceH4gMDWgnq0bSDpn9zofr9reM507YC/6+0/kMNoYlKC36HSnA8
X3sDPGz+COFdB7LTOfXgQKde5CKmbH9Pqyb5k2Zpld/0gjPaCmAfzhijcH6qA8gxgZzPr9Pl3TfY
fXbm6/+Lm1jmq6jYA6UmqvUeoJW0XqPcTylaKd78Wz9d/aOF1mrwZ/1gqFQIK2C1D8v7SgX05bar
4MuSLh9P73OaLJwIoBWsFm+7nZeYylms3fCnVeX65/cUorVYqt/ypOFfSYxWO/khHBuOEvMCPhpX
OQ2dZbBg6o1zzlHQfkgoiO5Gj3WAKMWsjbEJVYb1SgOLcyN6UYlRhkzz3duKcrkP+s030oFXbXVY
RrcZ13lEXrLTMOIAGQUAb1BO1Se1ca8SNm3C3XIV1LCDfbhSgI1ZdRy6v12pBt0m3dB9p7ihudOW
gbON5s7JWxYEIq+Xoh3gvwX3eXFQyuHKAmriJJIMW4pfh4iTShf+XRql5TUQ/NVNoA/NIy+2eazs
zjsWsNHuOApvHnuWFo9ytRnETyI2Q5+B2y7ilooCae8ohs35wxyb85ZKJt/mhcIIeKDYbO4m7aAv
n960c+LPw6XQ9wedx63PbRSJBYAmPvJmF38mZl6EYhGI2SxLTBZDIUHzwIIn3MJyACl48ZDOVvHg
2xnE1O301JV98bDp5WrsvT/zpgSAizV6sA+8TruTwejLONiboBodihJGOI5P3iwffVb3f5qnrn4x
Cw0mxD+K0Y5PYQWMffw+gA45g7XQ3JZeMx6pcm0zQEBxEb9V1iMAWkQp3pv5Qxrx+3WKEYqIbLeF
i6uISQ/mKX2DHRBw4DTUHEIdUycB2yez/GdXTx6KUo3PIoWj1jw1Xb4Th3zxogj+z4CGJWjL9Ag4
d71hF5Z3nLm8z+Llqoj1gC8paBbEIDqxbgboFChvFqXjw2Ah3uMwUCm6KUtIKm9ElEHyGEn0pGo6
X3p1dTQozwS5zJucM3hS9L8EZnby7ZkyLaB+RU/tA4fKIpcqOBFqmVRHcb4wg4e1xomubP+23Hz4
rqmQMsal9zWjNvrQg1G3VA3qT2qd2DspXXdtUHpKx73wADLtf3hIDgPwwV008pRZw7NCIUx4G3s5
bKbW4N72uvV2NXf+mNMe8FMWszh+0Pn5AG+AmGXQlzxyBXATFpHXS9HSWWReuW0ItcE2bRjROXch
v097oRMfSXEx5cVtXkwnXtsgd+zDsHOdpuUX0fcfZlyVy7QXGdX6oLQLLEvXFTQGDkl1hjYM8HlP
sXsAJ5xr0QnPa9Z14Lv5trPrnRxyUWfSzpbnaufSKjRKmOOrqk+9O9F3i3FgQ2DaRYNPF5Jl3YZJ
zPG9OK+XQGJZBxChnN2HXCLKkIHOuCs4oThsOskgExu5clWpSnay5q7Kd27a2bcydFBkHcYMrm0t
NGz+51lvXsnl5pNQOaTdiNJYnC7kwnVL0pUhrAsSsObvI9aGU+1DcuHUIPw0uVk/V8sAotK9pSXO
vajAdqmfW9ruurZz7kUS/eIF6NRHlQTOkPw9i+vitQW+p19VdCKd+oIyBdoy1YfE10FTCulgKOdA
e1DBxdF3NGZqD2V8MFUrfZjNVAVjarG6yUgB9JTEoKAvSgmRNG6dvQShZZ4kdM0ya9lw0rzmk8Su
acRZZeFNA1wCiNA2Hf1g9pka01UlIZK+6+AO6qwc/mRt7u77AnQeg63H21ZZnrXafko5H4V45lZd
hlU2ephKL0wiS5R4ykCtBAzZ2jDR9sX/zpH/f03tFVz0BlgezgTQlvxvJ2ib8t1qunS7vJYcMgzi
vcaofAbWt9NmF93FlCKPIODuDTruIcyhuWSthg/D/B6k03uRAmk3Mu3uWYdhA1bipZA+j6vkkOkW
aILSo6JNRnbvEbK2rNCFkd73EO0BxAjOYxo6ylNWZ6BjJ6Bh2smwIC6jkwHsPoBAq/hvkYrFTeHL
85yy3ShBm6tufs+dynzcPNs8eDGsTL/bPCslgIDUzYH/fZ9X5fOwl3uR/GKYwwy89H+5lzrqFUr1
6nm9j0ZPg2C9Z+4BHBMwQTPXuFHjNofAzA3s245+ZPPKDEzr1l4G8OQwyaVnW6W5slFcBIhplXNa
UCnPzL6IbpKkq+VjqtUm2m24mErmX29F7kqcLiZtF0qMuq7hInGSL1BD5XttjKpvLUzZO58vm8dA
LfjFb73PogdgEAzh2TNumlktv+X532MFPHxQ1TbwLnm+n5fofom27PotWtOVz+I+NNrMM92LNvn5
VWsrEZUpVjvc1XKp+vqyQ4JcJmyOZH2LfVqUm8VLIYjMJvXhIqSNFMh2N5+P0Wui1Av/4gc6vRaz
TLMaNtkG4IvvgmXGbdr3GS/utJrC5gDTdcmpmMG5w9JHMfW8xXZ6xWKeQzrArNABUo7h3UXEbdhc
yqoidpM/+FSxB1ufHbOVvSSUwVM72j/WUWbYTFseKwYwOg5Atqxr6uap6uEQCTY/+ka9JoSFAICd
PYi38X61G5oWP9qwrdy4RO3CkA18mqdYMeo8AOphjbUMkscGdlTAm/rpZtZ54l2DU2qcPRr7TnkK
MSHHAw4ndSadVHdVZsGwqNAGsSrp2MOhd6s0hG56cV5D1lG1OvhmVs92aKI7NRn+NDLdPUC3EcF7
xbBmWH3+M2rNsOolQw8aWw8PyuX0l8HrTaw3JHecsLzYz0oy0wIEInt27c3W+DQrTn6OZg4LgAfk
DdAk33rwP2/FKIMfj+ZhrGs4bi2FXr06K/Klq+EYThNtmUuEM7Qg8JYp3Z8HNWk412mBgA4S2obn
wawhzmNw2VW/Xzo576vapRJXLlfL4q3UKU3GQzS0FzFiBh6PGt41fPEMGzx/nWjJLjFrctVL17sA
cgS2lDjolVfILd8qE6kKNB+cZZAyw3CAuoYTCArzKGgUlQy6bmTX3RCHV5uvGMSvKe1rVv7mHR0s
f3nu7NO7y/N3GHnOWa5su9L49hzhKn036PLsrldALOqwn7JXyXN6szzFr5cSMzV8cEVZLZbRzW4q
JRqU12aM43OtxTeCzjKrtvacByFHCqrxuR9j7RleqxvBdPHpo3s2kQS6JYiRFtsW9+75Hudm1h2d
r4cMol0OYyiwvpUBDOy3qzHzzAtdCWdSDncNSvHpnEQ7QH6ZXOmO0Y07FfSEc+7TYcn6gTUZkqjq
uX272nR8531xNTe+UfqwOYvHB7cur3RYICtw6Zb4iynmsvhaF/THQebZmi9mDDcCsC3eJ9Cp4XSF
UObWrEHSGA1X4XfKUL4barlu7W6+aQ01vErf9eqba4MBNu9dFvXNU9XGyi0k5OrB9/PymzsAHh/P
2R8OBBS7/+pRuGCvgiLw7zk2j6i1eQhvBqP6faDDgiWJovOXizjBYVfqs4gBa9Rdb/b65y4tjY9W
mHwvnetF3JzFuomSuR5K47Ot0lGzxSZ/zl6mX28fA3m304XX8NOfrR+PDx8gK4IKL6oAY/7wCWro
wL01suQhdsf4gYpLe+lXCLL4dyPJ2htVWhkWMXPa9iYEL1g9wocNTipWgeAGKpt2hsWlWtoXPugk
zJI+iSFbuHdzBYbpBUphYnfy2vAheA01+qpuu4kuQ7BztYU3FByGNN6PbuO9sh/p7osxsW/kBIzq
oU+e7rhPAAEGn2KLpt/l+Ayo1fDOmCkTEvHfgkYlsA5shEV8FfT5q8MGumzZVHqcv8Kuthyd0ONd
9NRwQW8XXg22zU8aWK3nDErec5XYzrwrtLG90dThm+hk2FwgzVbO49RfJ72V3K0Bm59VelSBVhlY
v0u+D7FqNvkndXTu17DZUNIT4N2PBs1f91FpB/dd1Ib3Iq46CIAPrak2O35KLw1i3Zx/FUstyXOh
5ObxX0MlaptM0lEo7h5Ho3v6ZcrlJsTtV6GwKbGFzjfPYbNut6i0drO31aKBF7Ax9wbYpUd1qUwz
rRGeh8611kI1sYoIlbDxeROljG1z/v+KTfPIvs2U9K/ccJLmr9zW9dtsrOG6U9KayrHZurnQNbRY
Ut7IT8HMGURh3PY9/akt1TaEhVEZXE30NlwBwdTO3wBtVeYoPvuAH4/glvMYlVGpfp2rvXqObYrX
wNYE/FZkNwEtCK7WW1E5gzOvehEzL2WPwVrdOw+kkvVSjDPQriejsM+/ipREdQTl24KXtIvcNLoK
jdbeS6/8RRu9tMdvw9aCXzZTeKq0jp6oKK93v3JZ04TjqEMvwq6DPs7gPOecv1NqvE9gMniMnfGF
otzwNp+HjK2TRTcnYJHAKl8eakULH0UnQ9Fb9tFNoZe48FYM/iRhzw5i6tsBIO79S9DV4e0WJlnc
xrGuCh3W1CbvtX3PRgrFzk72qZycV87CogeR6BnvgZCilFnEwi4AQofw86oxuuyTOcKNmoFrr7md
Q9VkwwH4P0PLqa+P4tt3wWUo/Y6dhIrxfeapVsIHd8jzT+yDdfsP4So/duvMxhJej3Tzv8/sdZVz
nSjZ995NpjsZzKh7uxKx0J3x7oNOROgu/wCyubz+19DAL5eyrvfMW/raj6r/Vaumm0st2j86Kh0b
HC9o7lQaU6lW+1CrBhKq2nCo1P6m9ey7DX3i3tGr/oVqywCmdHoggEF2B4g6RvsYROGT2+jWFQvD
+hCZavgKzljy4PTjWSTghWkladPiyuep+UZ07uJBvcbqoZlB9Op4tO04TTjd+KFa3L31Tk1XYxq7
D37l/N0AQvOlNSmryBq+gETk0bKBl7GrTkAqcKiZDBTnJFCfJq71W+VeidbWW/dh0rU1Q6JCpOc4
fGeJUTK4c1ad0pJO5Yaj/vUHrvd55q/izLlaf/9EzrQe3qsFkajTaS0cusA41JS27JoFkiSGyjAz
lOGLEVXA64WdczLi2Hmmgu/NI9OobjX06Nlo1NtugRswp3mB7q/+1iFDaw5lBhNuQA+24i8wLtYE
HarlLX0gC17BuAxlXhunMm4/RuhA2L/91ebWq45KrimPvaeU92qSnepa8R9lEH0LRAiAQIrKUg/D
tEBKy5UfWjxYF8H9pnfZsL/N8/arunh1fa8DEp1lVMxW6bG3Ykhgdad6MZKkelETCyqhXrVObI5X
LxV8Gjp0dg9TqmRPlHdBqzzG3dHPNQ50syp/4vQTVBw7vBePTd8mo7MLjKo7ilsKrDywTJZ9aDmP
28eNTvtyUab3eRvmgOl59td6gHcORoI/J0BvdtPcRp/Ae5uPrbk0a0cg/o+VwfPc4pJ48VXg280P
yaZnjXe29Sm9p28tP+RLtpJsCVAAfxqNR38bjE+fUgtygjSr/oRO5nuv5OnjOM/abxFvEdjFlNei
MYJPs2ZeFV2m/RZ493ozHmbQbPbQBfEOXIZhGfJhQayJqEcTaczdB2V23zwSqJtpdujSm9VKbZCx
CwIeicqIHTNJIJZICT+xe+3eSmPgwgWljmBybW2CJdTBwL3XBrBQdqDsQMGhwtmCzUmLkkVW4MaZ
Mv9+Fd/TeI3pnFedn0Im1tmWcdzS1rnPQ7KtHHWwqp4DnzolNpjVH1GSXztKoPw1hzAt9NX0tRkg
fKv6NnhsPQMEdz/xlv61j0FZMfp/2WH63JoTtWC1rdnHeMr/bkqjPgl2VtDTQ6945w0ma3SoYBkb
vlSijifvK4f3HHwtYcgbEoKNPDUf+QeZj7Abpne+OT/Ql2w+AvZvrPoR1LXrVg/aq80gVhrX2b9M
feUiiRja1rqZaDi+35JzpmDds1VzLQ5boqEC/kPpR323+YqLVpgamECjc/hg8LX2xQVugI/ez9vk
+2x8sNwfH3KrIV9fcUTxblC2ADiJOay7cU/n9FLM+DNeXv5cuX/VRp2ePujV+IadmvhxU5fwsN5q
TfbbppIMVQpxReBAl/vB0Nv05fWwfRw3w/oi3X4fpUN13l4jmHj6XRFzXr38Tza9UcPal3dBepFc
ctAYlF5VRTN//C/MmXrnlpl2tyXJvGVdXNT77S8FkFN8XYEVTwNcqJ/hI/+hdklwk9WhSf/NogsH
jcv6K4fkw1k0Q9jo59XDqimqpjb6q+jY3dPPOg+b034u1WKvW320X+MlUOz/OtGWwv8sk4livQe5
kWWQCWvD+bolHMtu2CdeyNeeVyZwtvAousu130KPPkJRGZw2R8epBwintNtzwsZBC79RkJyzPhwH
Du/8+qBZnre7MIldBofP+a5OLPVgsVp+i9zMvRPcUZozntaZNZMydApsyG5omcGvWLNKqe9dsXL9
y4bxcmEIevshgOTrAEFl/tgtqrwvijvzCcr16rasym9xorRP8Ge/Dao1P+Vu2bIT9FM/9kZCMapD
K624LYYU/pPHDBSoRTME1D9BXd4++SUQsV7E0cFmkJkKq/62TSIBy0xdMDPT++SB59EqsMwk2cQA
Dx5wRgAN70LaGm2vmF/SyJteOPUZDwbU2/xd1TddEI5wdVvQAy8euT3NED/QPi2iDGNgZTweddWN
RLm6PzyXzvPmwA56cKT/MIAClBwysEfxReui4l4kpaYCGWaqTyLJDZUQPO5dCmCut6AYBtMpX45O
ljy9Zek3nARzNLGIEjVA6s7XUgh8/aJLfCd4HPXhuOXYXuP2up1+OkVpf/kaM4U6gS3Kt9TsyvC0
6kailKwan/nS3iYuoUQ6KkkYXrzGMVYvXqMemvp91Z/A1Kyc7q4u/rCcV1tnf9dfUPM4RLLqXV30
/ioLe7aIdTLO0T4rPmkGjNgUPAKst3pLYEe+G91orORsafOnhi2Gqe7LpzDs+teWzxn1TZzUi+jZ
s/qYKtFNRsHvq++E/Su/hiNMvlZ5K6IXOtYpbW1zxzafV16pmXPQyqR8UgLSqaB0UpysA3G0xEo6
t0xuxCgzSLquf7uhZmARJX07gU1lgxOmwVGad9bWnuhdOUxUsR+0oH9zWuGxks6q4JuS8i6tn+hA
ehhceABzxwzOTj54p1Ztb5qwD4A/QiVDokXhhShuLmViH/Tpe4BEVSCwnHiuvHAD0jMedhImUyQd
+7YUJ0GeO0UdjY1ufCvIBEWszjemDU21iH3uai+8+QSmQDQgTUCDWanxLZg0gBN4zn/4R/mLuMoQ
mSV9K0v+X/n71aAB3P1iLkAHa/4QCGy5H9cOoYiK45cuNv1bq0o168o2S8rSKH93OJG7uGZH2b+V
YVicE6ubdlXUzftLp/+8zsNQWcMubVuydaJQdZg0lhEIgN/5GaTQ0bFpqVEr/c5aioP0JtTXQX2/
Ep1Yxe+DaHhFtYsNjeqmJeJXfmL473PQ2/4yVUl7lGkbazKrnYT9H25D/MqGloS01E/by/jVjL/S
yRStykFPG9/+H17E5lKXKZ+G9SXHxnyTerDz/u+/ZRAU17raVqd5AQvQlqFZQAaCZaHL/u5t6xvT
jajE+MFNDI3AAWyxsI9WcEzWn1bre7oti1zJFJvLlt6PvXaX13pzWK2S/r8HSy5T5XxNzR63O/lw
t9sUcmVSu7af5sa9jrTwaLUu3WELThQtGxXE5eWfF6BQek+xPPgK15vOaINjEuTKr4KKKoP004qd
XWqX4zlfBtNShnPRgkSkmUDvLhKl6ONZH2Zz2BtmczPo82c6xOKnWC3iJ8AFymyonoGBqZ4TL1ef
Fu74RRB1OQ3pc3VXv7uIth2uvMLwnsQPxofq2ur5bTKNzj50Ibyl2fLFJkOyXAV6BUHkr8yVbvP9
Vi/fnk5sxNeA74F9Zkfutdtk45c5bE6aU2i/t/EEeCBLuMd5iiEBDAtr3zZ5+XsLXfviMKggBeWe
24L4btSPnKNwxKNY6u+TXR4Lrcq+lvxeguNgtVA1+dkrpaR/S2SUZL+num+9upR4n2TuXDEHmds2
jP+YOx8ja08B8jY3yBVvc4M0WD82Lk/bWttEj45DWUdQA5ZXVsYPpdI4r6nb/hH29eTW1HJ6gZq8
+GQPcGYHkC3/qQ1QHS++dLkYgBVFb76KY9VXveq/yA6v3wPaMUeJcyNiSofNvgga+nbmFvyvxbqJ
UwNz9Oa8xXL61j+0o+KDYFoU+8bLg++jSqOeC5FpYNrpA4zbLgd/6A3AeHZNrtYPruv2z72S/VEt
er7OIUsAFe+OdX/2mZZFNiXQVx5MXH0cWjcpJdTfsp6jQtQmQPZwP9sjRAkULdPxWl3Fs2k9ePQ5
7c2CJZYbddZDkw9wNnPUVp8LNotXUSzp4m0aVMcliqqwtbk4iqWjpPku97RbSSh+q9U3gbnwNUM7
AqlawsoZOu4Ne0s/1lx1DnzbZNefqlafT3bAsm8steAOmi6NLZcOqo8XrY2sm74pvZ2IMtCX6MPA
mug3nlqZ+yx29D38zvqp6cMJ8kK27QtQy07dIspO/CbK/0lEmB0vnUcfWMItVqybs6QSa71M9H+I
bYIUTqrQfNaLqr4ZLDc+sqXUfO1Hf5+BZfyDvg44DcNRvZ/Dgu0jMLM4LcSgWOUXZ7S919FKzVNJ
U+tBTwvnezRx3oi9GIzo4KdDcOd4efYSj8ahiIIHOpkhMbSgT1CnxgClQk+eIYcFa3NpJCvyJIfa
Inoz6Gn/ZmiDIF8j3IBdKIN6L0CdjdIIQZZTDaCzfdArlysZdJjq9iVkhVebIVWr//BbnZPx76jS
vDWTuP0q5+rr3UXeGN6Ll98UykI1+nNWuaJ3UjnSvPbJjLyWI1boNEz2+x1qXQewgnztJm85Qdmp
Sec9RsWUHawBYrA6smDQW4aED/rjrBjPw1zCz/eub/xKu+vV/l5UEi5Xaa7y7tJgfY3YTWjrgS82
p6rUnRKGxUm3oRW7srozlNd8f7dx/kI9PJQBOq1Lq7jo7KAz9nY8e4dNN/AU6AxVd29BI/ZilVn0
SFHQ9eYQKBFtKXHfXQ1pZZ06qw6uTKsa77h7nxPuWP/W2iFg6wEECg008U9200YcqWvat6jUsj0b
fPFdrGnlb7mv7EUPVVZ8nELoAiGx0r/VLMCVIP9/nH1Xk9w4z/UvUpUyqVt1TjM9wV7bNypHKudE
/fr3EBqP2r377H713bBIAAR77G6JBIFzho9ZlGvHtLcAr6DkzA1DJPICDBm4dzbq+/XCL2Ik5lo1
cBrTCSg5RSaLR6PLPUCrMrFBGMb64gAZ35R19v3/z8JQPqw/fLQgrK1kO+P/J06Ni58U6Qoh3uhg
ALDF9Jkzx9nqaqTz9Nd/1LS77M9rAq7jTG8xHdXsluUCFeLumqDMbAuVwE7y0jXWNsPFzMoc8/Gj
qwl7G6ZFuHUMffxYNOW4DgDCtSdtbwOWsE4NbE6VNgiqTwXqoB9JWUzmOpBieCkm0Bm6GZiulUdA
w+LYHpdXmjLhdXoGHzcoJUo+PHOce3BlC3acpLIRaR6NI16m4Qs1lQ0K3KB0EkB/Q+bZkYl0/mm2
oEkMN0grDU+avRTeuO6NEnwSf56QOgOpemOWy+2ioAMPAuUFyMLf1TVtGOi4NEwi20wCxxrdS6pT
K7rq1KuGhqVXAse3l87VBgfebjGh3mJH00g2dG6010Bjv9jemdXkk9RcWle8SN4cL3Zvy6qPYbNq
y1nH9kAcwZX3shB95kR3o21pRtMjEiCnx9DAu9B2w2Lr6lEXb0Kt+AlMuRiPXpgsdtOIajC7lmcz
DdiqHXRwgReyxlFQM7KzxGXD1A3OtkKx5JkaO+TPOPgopDHhgFMYqew4O/Oj5jn6zkrykyw6zQYA
MdLSEXHKAkAtwmag/HaS5gYugvx7AxB2ZdaepDRhRHS96TP3pbaa6BLr8dcc+ROvdmWnrx5wW0dd
lM8kKjr8xCybZ8ce2dCvouKAJwaMiDXw8GqopmRhi9Bx3a6GcQyv1Ighj65axJ+KKQpQu2TkHDQP
fXhkdv35zgx3khrA8brHf/85WvcIE1wHB5bHXc/TTQ+p5fcMVVNUmk6EnMUPUxV660ky6xCKAACI
vwk0jMJ4o9Igmchx9aQsZoaMxY4SPEiLBKDTzJxBMjKJVPpHzyrroCrsp74YkLrWhbigJPWNOVl6
SIfeqArh1eJi8UOyCnvSjRUjmH+nmH0tHu7/APVJaAqZIL3xzcM/rUQmyyI0raXCRYGMF1mYT30r
A6S5Wxcv1s0nphoLWXsHA6wnftk1r1HlKnTQBMXZDkpskZxSAFH2kUaF4XVnUGK8gCsJFbZd6OA2
zkmz9TIhxXK+E1vBnmaQ4n84IYOq1vge+RjDDmAQ/W4EH7XvqHxLU+VlUlOJlJ+QM7Njf8rJzFI4
hD1K5xd74t3OATXsT7Fd7xcFTQCcdb4O7ZKtF3ekWNa3SiDBx3ZRbklBdszAQVl9iH5KettvKLc0
QwpcqhYnu2WhZXHgkkcaModARUNrLjbUc+2p36HGqANmHf5moIbExwlZrjuTOw2OKqIzj0NRsMyf
Mz/UGKWZ5pGGo+FI74QKCvM48ik/ALDTb3XTBdwstWS0mBuI2q5CCf4lKavghCOts6t140qjDNmu
qI5QiijHRsOnLjVAy7T2YLs63ChiZNGeFpM4D4MTyRKaPESBeZDgbBiUw8UuDQTCljS+nxJ3g32M
uwjpJJgyu5kN1VLpgIfM28T3pevBZCd2s0YucomjlilAANlIVBhQ8XsvEXQarVwgW+13uTyuMwoP
6eZyOMh4OoRa28cvIADofNGGYtsnKbgWyJzK31F4jXIKQBuDWtcqH0awpnGuidMEyu0tS4HujqsD
rfFR75SfNQtV8mvqzlJD6x+azi33bj3luIzscWS76eJg0G5RtPOHk1p5IiNyRL1FBsjHBwtI3fsb
0eLWtoRAluz7Z6PJmVtd+eSKgxeCyARlyACxySMd4VLndCOKCOEGB+AL7hmzbSpKw89HYco1zaBm
MN3Ul1Wa7gJlaOA8uREt6F1Y3Vlgc0isc4xEo7kHxqnnAGH0/SJKAsCqrMs8b88V/8y5tdG1hKMo
x2FPg0QlRGakmU/DaRo4IiNAgpSTl69JRo03uOMqQIR7t8h43nypkrA+IT4LBj+Js43OZXMlCzcF
0U+JsPZi37UOgmcTbpEWmTO0oIdvSnu9fKbeLpNVnYRiT3bCHZJzIOxzBQqUUzZp3T52+Z5GhRI5
42iVvjUkHe4CsXUlDTUWaagr3dgucbMJezLihYWqYVQ6bWjioliG9y5oTM3NsvhWtHtV63ezFivz
8L8SaOw7RFNumI7r6YxbYLxlrn6fP4PLIK0rzcp86UA/skEG6rXvZfADeZH7qBK58PsJtSDACI6A
yHUQJjYk/tg94A4KZNFJla/boA9+ubF+yDjIycvcfAJt3vDNqvtvhm2WDyB/+FkMbf6ggzMFWbRB
gjryXuxAr8xXXB2ZUOOIgHlQTr5XVdVB17PimRTduAuBm/w0DxAAOZq4RPKXSS5HYlNUpsU2AcqR
73SltU86MwC0b/U1dXh5MgdgFqxwnyqw53iadabbnGNNPht4BoB8LgLHGKYYvQ7sqiLrVqU7sXiF
uxNt1YNDets6VfCE+gDtqcqKry5Lq9NQ1/lWH8p6Ham5f/ePiqHneW1Ew978uuZLZU7sSlMW97Q6
raE+dT7wCHeprlHF2zyIHexdAkcVErkWqJJ0uwfuMgs/FJ0NuvioDXahUUQfTCHzbW2hko+GSTp2
+4EHOF5VRvQBySRgfAtcE/mxMBYdUsf0Sfuk6Wo0pv2TLo0t6ajhD61u8VfqB9VLaxfZsRtLbL6G
cQfOKPvYqsapClCETSmS3Jwa/5ldhmc/aYp6CqwVaomgT4a+1vekQ3wNGTvIG+IbMpu7ydR/BXSS
t5n9zZa/V1vm3SzJdTPKkfatlicx66r0v34ZpnV3ZDRMZJYZrmNYIHZFetk91m9dG84wVcMLcz+w
KGXxOjDVewJAbn6Z8OhMDUI7oLe877pIBTvj7qg4Se9q02BEeggqeP5hniXKF1kA573Vunj2+o92
81J2XOEMCd8rMiLng4sam/WsNzXA+SFkAXz+xB0/Igwe7AcDYR/CeNE6vT63jnwksBeCrfZ+i2ZM
Fxo2fHh0mrJ5IjMSga/ycYGJ+dMPmXKvml07dWGD/sPImgj1y9pDm+A3DOwEfkSO5DcauVMjn+Io
RyKo1ABpWsfgFhmdpNl5UYtoFM0oxuJQN4DdbxLdtvzJcJCkpmUvrg0Gyl2BezcAawynsQGiDUrb
U7EGmaqGbOgweIi1RgKaOcYrmgv9MbRq/bGykLWWh0LMskUBGu9sVVppvyVZFMkRX2updm54R6Qy
u20WWdGmX0WPHcYiWmwXGRhFknMjFLxYZ+KBCt6cbrsYgq0iO/37+Qox1799dz3TcVx8aW3Htv/2
VE9wA4qdQlW+lFRjgM3lKZSNfcbZwT5TDxyAt0NSAPf1a9eBtm0eKdsoniJgkL7PLTTQaSGKdSO6
cxeDPA7UlYabbfTBRVaXcqOLHsnYorCx+U6DS1jln9pGc147zfSenWjwdUc6r9hCO68AqNy6UVM8
kcizEX+LjGo80xCQZmxVA19rT0MkH7dbwL0Pm0ar3Vc9H+2DqBBKJE+9Y0XbNtBHLdswM8LlNcq5
jpFqqEcNQgr2EVBpqCWUqsSFuouGeiQjw2UeucGDMc39xcUy784NKOKqDaqFotn/4sskDzTPaBlI
arKxuXjqPj7NkTE+Yi81jyTX127YmVsatkOSPVhV+UgjQdkBdhsjxTwcT6nKB2jxSAc0I4g2SeuV
FRJbXQTmVa240Vtfm6wQ+1FqSC3iok/lOvnLzEHFQgbUlCI3L9iMIwPJGIq93WifSC7bGpN0au0h
L9ZRjnfWMo96NI96KED4r2fz38J5eCYjsGHaIC11HHvOCr5huAbYNLgLXat5kc7EfDdGwl1blsEl
H9LplPfAUQ105Em+y6lHjT6aOCFzJ98tssXOK8Nup2u42V605HgZslDfTFlan+7ktOKEyJa6csdj
R629OKZeYHYTLmzNWbnMXz5saTiZn7jyXz7dCMCqm794mUtLqE/nlkBpXtZfPkQfTeVac7q3T0dT
l08BPP7pNI3GmkRjpWFvgx1fGnpfD6jGZF8Z7kU3QOqpcHhlyUtf9N+mXvKvepohbOZq7GoFdnTm
NjiC2dT0a5fV44Yx0Y5bYLvaa+APIMHLLorouzeBQFBDytZA70XPlNF5tqzUK7Irw00lBDu4um2k
f5FMi5rBD0rebNjgVdF3GYHOhAG70UdJdK09oays3uiydHGocap9I+pvowbalKaYsodONTSUqA5H
+UH0tIhI3o5e9oC8T3ZsGmdPItRWgOiSul7q5Wcj6Fc0unPZNDg/iWZDusXtYiWGv0LUmYPFCEDQ
eV0PW9HY8uJVnbwE+DGBkksDoW1fpduqmOpyR5pRtD/10Zl2gTYAQrmJMkSnE1M+8hbAdGSSttEE
bMkyH9dpJzfaAOxYZKeXv61t3NkCfOSCdO8apA1mzjb/9aq5A4vlBn6IqJRito7zA143dxQikyyA
HASwlBcAJXdnZLOjDNFqDh7OBTheFcPZRbFR59OYxTm6hQ1atdAGWNZiRD38zwzn2YarmfN0y93j
adocaLTIl7nzAuS1DXD2v1+V3C7m1Hv/nOWA4nfhAI0n5PwXKwLvNdUNuc2cajrqmscfLGQgr0F+
FHxpUrB6NOARj2Fq6yOqDisutzhCvJnqWoFNiJUEX4ys3gxB5v5ADCpyMl1lLrD1giOY9EF89TYz
LqBCu6de7sT2bElDgg5Me6QYvFn2hC+4WAWa9/CWxtSDFHmj5XEJHl4UMVDjmOGlQMHAA41cZ+pR
9ewWs0Woyh8qTTvfWRRaUKxiWWbF6h+0tAJS0JICcHF/805zC1vhdLk8ASzmBxs0YclKgBTq6FkC
J3ktFM9Mb8Vzkgm2iWtr8kMPuGB4kJzSCUjIQZQj5KeGXCFeF6OY6nl808W1XhSta2D1g+WxOJL5
CHRD44m6cxONzcpLULNMw87/92++ZbK/7bIcD1mQpsdMnKINcHphF3bzFhpSXjTA5i5fbKPgx8Ap
bKDmSGOdhG2OyGxiPlLTGcV0zj13G+J19jibGaUW7Ipsan0r7otkM7J4WPcO4pk0JQi6t8moTcyB
zNJ0+8UhadVCiIz9bSGRIOfjfTpNosVAVdT6NKzdb3FX92eKK1P8GY/b4pTgxUQiam4C7UZu56Rd
YtUztTWN37U3M6wpBo+NZcYrRwFIWKAdxnlNdRE/d4+FaqjHXYUnQZpMB7ivHvIb7UTwEQDjcI8t
YVLQxFlK0yUhUyw+k6n4IGJU+6HapbhQI0dPERDZ7TbQQy2eNdjwC/DNeXsy6ch4ZDiI0LjUxc/B
LkDNrPW7IXJS3IaNxUOrmrkmVRW2KmUbR+AGUXKzCJAV1AJ7bsiBM8ECb9pR2Y+V4k5pGJvmQsOM
xyukfnmvI6DLnywkDoFrDbVCuHg5ZgMQKsmKfGhDo88+4ia59TFNySppLe+1ZCgPnYF6rREcqbXi
baGGmFnKNKw3oZMjd1wpFrYWt2oliPsU1cvC8mI4gb0KggaYtCjL28gKL4yxc3Fqodnlu+87ZzSk
KbFa6s4rMPixFNncNLUN5m8UuJQuUJbpLy5l8DnqU+tROJr5EY9K+mdBKb/zIOoGxByqomrSkRag
N7azRpJ+9qi1YYNcJv5FTH3+2QlSFNuVZfuqg+8KSU1Dcg1jTdvqLG7OiJM6h9DgyWEAuNUlxZ3o
FiQN4snqi2qdTnn7wS47E/dCSf0lMdhrC2rgn6IFJVaKzHZ/9ALA2HXRLw+hMgQezhHQRU5U8ZHF
AgmpNUJGc30HeD9sHz+w+EA1IA6r+FOXAV0LvOk0Ier7Zo/khhiZSL+51AEy/R2ZOFYC1nhW7PpC
yjWxEIY2j3AJ08g1URaWZns7zM2abU0vynZ9MDSvQQk4eeRhfQ9y/glX/ParU1TBzhh5sv/TYCg/
A6LROtXEmK0zUF1jcxZdrPjbjShUoJIj8B98u0Pw1om/9UIgUCH1PL5I+Y30MRC48W8D0ml6HoDy
3muADz8/RdS1V0hM9zT+rZyfFTf3b1AA3PZt1vKcoUnIXbaBxT0BQSrRpm2EDBvkl4Pu0QduYn52
AH1ydgG4UiGJ+JiQIlE2pM11XWxAkexis4FCDOToZCOImhAvonlT23P9Ql3egpIy0O0ts1EdGGqu
/iHHP62fFTz/tfHcJvvVj2WMQrd8+hD3FmIJVpZdUqfkIOWNta2R2Qgq4h8cGMoWyk/rptoSorpZ
I+Tp9GcxKe7nBYO9xgNpXRuVszJGZHWu+3LYGBnAjHFzpQORRYErLs2kgBBpiDy5yY/AQbGurHF6
M/zHOTf6my45cbv6V2OxAZjR6S9cHk5glwJLxklPG/B8WlqYnrSgR9m5ElJDsiZsa7aibkVd0Ag9
gkcA3PWdB1CUqvtFlHxS8yJzmycakD44KFnPbb7SiqbNsJVSstkobNBtxlIgAN/6uM5RGtLP8zmP
tEOGU4R0s+Z8q/GKEtk5OYBbFCtwTGTDKbV/7zcTR96AUHTBXm0dNcOMwC7PEMZFrTDgKdO0Kn1S
p3G+a+KoP3IQnONbXfAMGRZGskYk3LpwdduCiikmfRrrHWgf9ShErl4z1ru8sPpTKrp1OnRc4i4Q
p4K5G5bMQjoATj/zOCYDnMlxgVtquR+4Ru4j6SNcWTIcHjtEvR6ppzsAoJ8cpDfT0MOryUW8If8l
OMJ6ZIfaf7Bl5I689rI2jrMJWeNSYgsQwxFsK7/9kVyTVzAEyYdF3GZ4hVXl98g1+5vVzRqHHpSv
gTlkFL7RJpVPKepxGpYPdlRcKWudUuO7MHsx4tq9zDnvg+FuQFQgNzQsGFBm67C6kilNercnUWox
dxNINoISFXnwZK/8u8TwZ6XFC2Cl33wn777JFonHBXbatlt9M7XYXElD9qvQ00Ykl+Hmm5pB9McJ
WVCXeQQaige3xmWoMqCrba3I3R0ASisUMP2e9L8cVUXmXWgWwv+zI2xn3bWFRI9NF4i9MY4OruOa
ekaSU6KgzZ0LgcgRBJ0SlZVnXzRp/8DDDp9OAc/FurbjypKMyMOf/ixZbToLZ8b5YFAm2N+mSAKl
wwI1VaMD1D2oZhHBjJNcgSGsGgD/b7V+Ytw3iiC7JODGJk/L/FT5rJTdDK1O/pDCuG1dSys2YPt5
W3KZRybKFXmZTyjkhj7anZ1yNQXiw1DYD15c9ieWdJuqy4FNWUhwbqUmL32nLzxgSuG68WTFAeB5
qTtLaRKN1cxxBKrlrLiZ9ObF4Acd5TEnR3Gw46uJQpsg5bvB7ocQB4/fY90cUM3SIGj+mBjYK6LC
k+1mYeh05zGzQThXJh9S0+mOUpUVZ62O+mQJ1taBT3PxMUiW30qWU46NPH7P2lytvChio96LxujP
i4g7wJyyOva1VtNtieQEhIjNduVpvNrSMmau40gEojK/0/EGaVHFcqZe5zYDPlzebHmvJz4pHHPA
8ZrUc9cu8GCzY4RBSdh0A4C8XX1fKzeLL+rdyaTdNttAuY6AUIbcxXgASokNmJONhbuQE8+97MqY
gQ8GkL3v0ZBs0j8t3CJo95OswrMOjEDfMjP2oxQvQRw0363EyoG6HFt4EpW45BSZDWw0zp7r2BmA
EW+576a4Gc2RyrttPSTPe37YVmzdONtYNu23sWLNOmgNcQHEd/TglQVfWUJm3/8wAAsDEktc4/Gt
+ijumYmnRTJ9Qoo9aGTr8EeBTJJtaWmj9VcZJj/AwsS23EEu59piVrOWBeKoZBwENlCq3ueRIY0y
RSULPuTf2n7pKo9ZyuR2iDdTzCTwTrLpSr1M/ABgZflIA2qQtgvMD1Y3O6GsZlOvT/ZDGONVoKZP
3Thdpes1V+d5cUXmRtQNqAOcmv1iySOW7HJEtnDwSAF1rgMnG4kMwO5QC1RdXyP/GoEkH9AI/aGP
xhGX3ihAYIqSlhqEVt56k8fT0l80d+p+Mq5qp767k9Pwfu7idfFHssBDNNpMCmOl5eyC5wuu0rAn
C3zbNPRVOFRAUwRyXuAb48SA8Ju7/jzGTUj4gGI2nKaV+cgs69qEeOwrFzSiZnEzu9WT5s1NZ2ku
IBsAjKIrKOYeKD61gvMh8PX2jxFHSpWrgH8Iph0h29mSRmoe65uXsen7fagiffh8wBpRPWDEy0tc
A8466FGsRwqSkZYaTUUEE9zmrdu26laLgzu7XGQOkqbZsF7mLg56XoJHMf/LTRpcwgS5uW+cInt2
Bj17Rp37CmkB6ZVEYGy0TnEHCNnQ8cvY3YBOhT/WSKJ8UYUpu2xCVMu1QMZaW1H4gv3uxrVb/kii
xYImkOzdx2KRD+2bj3cL8vFPq5DFv65SdkhPM4uhRK6bXjywLvxsoyJzT6Me6f1AB1MKZInNitpg
AB7vTL4tpk5fgQnbWN8cS+bjSNOmOnhMHGM9H0zAeOEXPIqz6GGqY74TYbsLTSQfgavdjtdIVQ42
WuaIz8jv3yYgPv0AGEa8fnNbUz+y8HMQVtZqzIPx1Es3/6uIAQ+u5IOIS/AhiXiebkwT7oXqwXsE
aKr7xHj3gdxmQ5psHYDL72jW+yrMtMElmXOwEKjVe6uzVtMfq5CcVsHheWN63gFFCZ+nrEuegz5K
gDPraZsOR9g1DWfFFCJtSh9Ba6RMADFxtYfQO7f8O/hWnCtJxy4xQcqWfQ5ROom43rufeTyKtPPD
qtQP7tC6G81DhUjShNdMY8Zr3nbR0eVZt8HTNf8aGyMeJIH4LEe9RwJtMO26wLI/IXPWJwO9HaoN
sAnzY1p03avjZU9OHGRfAU46rbKuLC+aMEZ8x7sGqYpQSA18sRPX7WvkATvP7pONVSDKUE1N/vXP
j2EgoLYhufoYKsZ9zoZh2NpcHON0mB4Z/tteHG9o1zlSCHfzcNDDU5Q4jU9D8EkF2Je+hCx2nklS
xzZyTbKqPdCwQV3kHiGeYUXDMonsJ5wY5xGJpCLc0XVwhhiO7wxD8mCphnpa90N6IjjTAPvbNzEu
DJMHbQScpRzswyInM2qaXgf4qDuA/kfZ3s3XAOGzipreWy+KxU7LsGeXuONdLZ5RoD+iSsIA2j5z
zV/LQouJht/jUTbAbqBPF7pSn/8cLa3Ch2i3WEYAjbo0wYzanMu8OQAhF1y/YIoMV8vYtr+D96lF
DnBRatitaSkztr3W1dhuKVRJpx9BEmXU9pqE1Nhxw42thzN3UsQbIAGh1h3b1o+aCDaDKOSXgNk4
SCo5+0MuOORk31gI148SkR01CSCE8gtz5YjLimY88LydnZF8mfS+SI6z2yl1ZLWLVMW+bZWHxnGN
c68q/0k0Bk21wYmxXUcKJIBkQ1hVD6PAcz6eADFIsqiUBko0TG/2RMYsG7BLllHiJ5wboDlUXtUa
YTIa53mactpEebVBPRnWUJ+CGq/WqwdgiyJtHSJHTBO+Pqj8C3FDD56R/ifSHnEF4fTeU+e6L4Ub
uZ/KkE1bq2TlTptglRUdgChsA1UOExhfovbiJSBgoed3k2XjvhvzYmVIA/cGSIW8RC1LHuhJfq8N
ZXmv7ZEyssJ9ikqK/u25aryznRfp2Ru6dmNMyL3tFY+KVAQr1Ivyz20gwscuGt/EVY8rwcWUrEQq
xSadGFt1XquDZExG4N4FNsng41n/ZGNbtXfbJr14bTZFu9FAMILbiAkquxtjFk2f2y53tyn2Cyci
uigEAx9ej7jCwRHG2iEKDCKtuOn2WvwDTCDGFgGl/gzuof6sV4Wx1d1OYKeLODwpRtkG7TzmQdbm
68S1P8ZZJXc0ZYyAeSoOJevArp7Z35GfPQA607EeLJAog/hFNqchTfG0MMGI2Xh8j73YcG1VM+Ib
tgt1F7yfakgKXGXl2Fz6i4R6HiK+vpGE5m5RwO2w9wy8HVw8XHfIzQGkyJiujZyBciuPYh+/piYG
t+m6jXiY+IB5MKYmhQQ1ziifQV5tjfglL4ZU+EnGdrXbmj/rpDyPnlf8SEv7qeo1/q0Y8092DtKe
omY/7aHOv7gGCiba3vLwbQTIaC1kswq0JNgOXhu/cuTaUlCURhMqnRpUZX5411H8dBm965Tl/9u8
Oop8t8mbE66bANU5hagLaRCSQrI9aA0Uv16Ig9aqylxxmXIrIHnSe29yJIOH/1POgWG/+HFs7d4P
+TeEBwbGMd5pdvRIJYuO7GL8VKNHqoVkavSnTnjikfAMyVKNlnmJkTxSHaQpnfiqdOk4WGcDeZSr
CVnkK6kZyV91MuQ+4M3qb3hcn5I0AoR/F25AZgq0qglAan2RGd8zD7hH9lR9wluvXGmaM7zgih6h
sRSszkP0bBkt/5TUo7fSsrS8WnadA3ZeykOb8u5hwNXaOm7j6WMR5D9dvHd+ASApCPtfTpv9wkm9
+9gHHlubdZo9iCd83bH5Gh3rqiMRc5UVpvtX48qv6mH9CxS+qM7FLUGadE+T01mAKnaqFQNK9/PU
1/02tr3sDDqhAPsP69aPY8fsLy8f3v0Y/Qg/FaIxBkOyzRS10z7sUBwN2kn2WQxDCo5I9GIlE+Cb
/7xol96/291p/6c/skNhLIDEerfecJsD87LwUtQjAclVBMbtcNHWCkG2rp03LQ0XrVZJYD0lPFhF
E8jUDojb18eqRqY7nX5RXgxY5wRfe1z774jXnBoE/D+gRlg7LVTnbncRY6Lhgaz41F2zu7B2Os0j
lQOeAcf40ERIFbqZIwxjI2oNt9xqFikKnaUrWs5V00jR9+mHDgnmN+4idqblaE7tih4l+sh1skHO
3gKW/mAghdK3RsN+1D8LfM8euQF8fRJwN+0P9eB8q+MeRf4k63J8/3CZL9dZ2GjJJuLFLwnc7MPY
1kGyefPBpjhi/vv82XSZOmioBnWn9oC/KDlRY6vAuUvhdAH+uhONF/UkXATaA+BEG1Nh7Umx2OVt
w4+N5ZN4Nr2zWDxRb/FOTu5k/WDXCI+0/dUNqzUFYPCljvy4FuNrNDBn6/VxdRQ2zx9xt8JW6TS2
X0OtWlMEJmsdpHizaXgtkggAT+Cyp1xGXI8VCSrjf+dGVrnAzaFdu7OaUhtJCxr55Ey9jtIfl3EY
GcccVxzAYDM+5RXyh6gnrPKtF6neUIzGJ+otWrCvGp/u7BYveVQeQTn5gwHsc5VlpontuIZ3L0Vn
Agro2CLUVt2gmXNAZ47y4PIEhbECF67MAEGwbAGfV2QoO3LUkGR2abtgHfxAkgrVbbNYr2okgE7g
LCXFgFv5yjGaC83xUoQzQ669+aFZoxsx5YcGUZ+/IhNgfNWeiERtSFnqVwP4B6NKczc9KhDOWdxq
Jz0zQpRx2PK1zHFl0XuG8VN7KhUz8DKnHlO2AS5hc8wHULGqPJCy7iefRS470HDCS/g8cTyzpUrw
APz9rRbFC0i9Zekj5QVbWf+K97lxAmcwqB+7Ft8ZNaSUYGpyfboR0aQGVoZu66cle1hZVW1/K/rT
F2sS5D2FhoEcJgBH14DinVJRXStEc2iEDfc8IkhzntfzyFFQ6H9avo9I926JGx++js1CPDR1edWn
LnplrVOfwgAYll6YTV+UvC2i6NXLo48hD9PdiEqOh0Jr3hrZ4VIa0VhgwQ5C0/1F4zougBjBHrda
ZMtkrYmAdujE2awlBZAsPJyowK+6TZvE8xdrPBPe1kPl5bCV3h8rFUncHABp+JIh7e0hN41mFY2x
s5mH7QjmbKWwo8HZB6L5fienYYn3cYi411k4ogRCgzfuFdbpNbZb7OEjrfVpiOeZvFIvjR69HkhT
JAkdiKWFr0MjERlaTKWWjnsUySE2qkxuFNihiiTdvPEIlm36IVYMWjMTFiJ/D4WTe8dQySZix3Ig
qzn47m4YtN5lYObgQBQ1vjgm8itB23lirtM8U9N6HtAKhx41ge8yyy4+8jQvEDTHVfufk0hkGtbb
pAbfg1OTu0hZWBe4jF7lJbIE8J+D/OW5y2INOKtZjizARYgyViAUe8Bbwu4UCdPvjTYlT2aaN3sy
Nlj0prwbGkavHUTpbUlO0+fV7twti0eUYU2WN5+DFsD1z5OHU+A2LZ0Rta5C5xwF5I6z1izX29oI
Zr4W4PI7lmkDHjI1NA0neU7AYTkWOaCJq6b+1GledzHiIX+1nMlZSzbdTpUBgL1oKviqpmvSNT96
G1UFkjX9K2fSXCdjmu1o2Ok98gHtRiKkDa0FvNyHNjSfaESNnn8NtCB6QYoT9NjXAqjxt7O8st+c
xY3oX//JmeEib3LUNBzvJiTkoEYAWQr4ZuhdiMyySmUB0zi1cYPp8MDYeXaFiPC7gnqF5mlbWeGh
fzN5QmUIno4NwiVMeKfZI+k7A8k2A2uzbcBqgRAPyL6kbED45ETA6tbyDEl8HNhiKAwFBiEv0LVV
147s58gESUkzIAcHicKQtQoyES9q++QEFdAvMBKDYfVHt0VBIQvNyi9RKX8h4zLM6mhn6yZCurHo
NvMy8wooVVHsgJ29rceiPk5ZYvbHGrUBh044h2WteW1shbJN1BmBH+fA2jdq59EsVTk80Iw63/B0
xaUF5npqSKMrNct+dLjiPvUgMO9ANadmqIbMliFSOUJf1DjmgjQahourjoHmumDFERgV2S4eSs23
BUOsUTWxGNJr0PFzqbsOUCF+izTgp+0GFL76ZLFMCEDDirx377iIiqTX93HIQdMSZtmNX8bFlzJO
o2OQuhYHkApgcwdT/jLVMiJTslp2ISjmeH7o88Hmfoot77EDnDC5J3/0AbgQtc9H5FPSkBQZsAVO
ksunKUng6v8o+7LluHElyi9iBBeQIF9rX1UlybZkvTBs325u4AruXz8HSUksV7t7Zl4QQG4o2RIL
TGSeQzK35sjj4J56OwdIA6kdvdg+1rUTLcdBtFu66i26Ck9atCJPuTAfSMYXAMIv8bjB45a0akm2
dF2MXpXJYbKg5eCxyYLMKMYc8jOG3Q1fEtPXv3UWcqetZOE33iaAQWONfpVZr22Q7g5OeSbbQ6S3
2c4GVOsDmp+ydSdd/oy7eOQSdI19V/THoEbv3pI0yReOK/uNEcXs2qmrl7CI7K0RDLjUpPuYJscV
vJ0166oMrRrdIcWZ8yE9TVrDBXcpRUCTMG5vtBzehQZyDMPHW5c19NYGF6/ycjOYOM0PjfA3gTfi
+nboXx237EBJFraoEEJqBZ+lOdGSZiSrHO+co2EOoGuBW6O8B3bTlAx75dzmUbjTy+xpdrsxSWXR
HXPUh0jc0yJRhPoyXer5VU9qUFA0PPypV/aXGF3hX5rES/dxVTebti7b70YQgisvX5Vl5D22ZZh9
6ZrwxF1cPjN0/X+JUuYgBWbkO1KmAyDEhxrAR3GfAwNiCMOrlSIgrZTDpzvZW/UIAPwyKXYhUu9I
wqMIt4z50QXewxNuCNxrHFvfzNFIXsM6NrZVE2trWkYmaumSrMweWrMH+mtrLZgyy1HFcbQ4stZ0
XAeICGDGzBA7WEBxOXHmHFs8aa9tVbaoe0rcc6CBW4JkORqTr+i3RSZSIutPS1IMGp5PACV/S5VF
r5XhvhLxm6YKPamYMygiUP/ZVDZqjoNzwOO/YkuqBCWrQHRgDtCQC8vGQjKAosCV1JPTgFoQbz2F
oYizAc1oKCnon3fJBgt5iwA4G+eeips0G3/daoiDPjp2n0vRcqCTm1mLRxMUsRbFxzLOy3wxWUfO
xzRB1nlb9cULd2N3l4NAZ5UoJHgzcBrwhSN7HqklbnJ+1KNsLkXuBS/ZN82R+UvQhkBBM+K/yEML
dH4TICu0ZiVVANIOOp8CBKyu1j4QO5ejwnWJ0XXkLrXeFNvR44/AcCyPUg2kpeFONnmQBr9AeO2Y
LSehilWhoHuWTy48YQdgJrjb0ELT0dLFwzBfeEMfHm0LWc+x6I31JCxz3JuhG64V7wa3HtOc/CYL
twdoqg4ygC36Yo/vsjk4qW+lU3RUaoZHijKtufog86eRtYWchLK58Sc1rUkzOZKQvH3adPoRGkeX
zjJFIiyMkf1sFVR+E4KC0B1MB3Rs/cNEJUgy3waGLfCcj5NMDoA/iYA1v6qVG/n+m1uXSXYkC7Lt
Ne4iD+twALFhMxo8V3OO6Bh5mEVkq3Yld+C86EdQPk/PRHr0UQqannw1gCAtXUMnt3okznJSUpKa
ZqSwC3vc2DwKp5T1rCDfeTn7xmguRKIw2Y5ZBsTIuz3m8AmeZHuUN6Mm6uMpPnnQvnduidO4uAVF
cnIOMH/wOxkDmN6xcXZ3n86XDj7P7EVbVLwEuwFuCKcvE7/oNxLlVKdaXUGMQdRfXGc33S+gXggI
Op7frFAEnIAEFGduIBtbHb7N916TQ0t3FrMJ+RUs1pa2BEktfXmFAI9apKAH3dKSBvqm88Fys0i8
BCl59e2Xc5sf26zkC8PpLo4XjEARcdLLPLhajBKNUPe3s4xmgyN7FIyBxnVWdGCCvxhjnK37KPEB
toAlaUlRNHjJ8xzwytx5CFStoJw6+3onH3Vmn8ZsWM0xtA7f72hYe2RjUDxQ2DE6WkUnLiwoqnPH
/ZXwG/8CHlr/QjO/qYc1Lgq15aB3YwqWMv0ZP/F4mO0KWY7HqvROofXCRD32/FBKZAGdsAZRoA+0
/fM8GI0NqFpDaLilx+lsSxqA4Li7AEUSfmq/G4e5HeBSGjzakzOw/N/9yMMdm19FB14Rw0DnPQhB
rXURokcNAFTFqcVj3N4zp81PtHbSWluifNFYor43P82KxtDgPK9J7UmzPjBLXxbBiPY81ERlK9sp
0Mjaesgh+nLArQ6KsY7NCPSeHU1p8CJL38cS14HKsNZ8GNJ0NqEZCsw+QlhtUvLlrJ/NWadBE4OF
DMVWbE8mk/WNO0lHfG8A4k59InKfrMA2nhxJOIz6dQgdfNOQ4byFhnJSb0fr6acKcKQxUC+3TTkO
Kppednh57R3nSIOmx+5BmC+kRN90hVYg/FECPE6ZSDP4mE46ofv5JrDMv0ltt8MICG9lObps3WX4
D7LipDzZalAvJtPQ4MjoRkV3uJOXqMm+MZsclKxHGe0icNyG3m5OdzEdV5ybxk92Lk/ZUQL2EAwA
Bt7tQpCPHkGKhjftoDuQgobZjpYp6tVKFCTC707NRI5mpqEql6SgeFPoO8PZmWzmZYXfZ4GkCRAM
f/tUN1HIg/TklqJgYDUa4sQCFFu3ohteIxNgA1FW94eoiYZXs3yRWi5eYlA7nDxRCfRBQIz01LsV
x5/taQQU7FK6OC/blQy/gzWyA2cKkFP9lFfPPMedrJKzBmCugLcEq5papml+snkxPCdBVz4IJKUW
AQiYvotB5KskAdsfDxv9NTEnMWCookNr+/2KrAD8VYGhihXL3m/LpeHZ8jQM3dfRz9BZ08Y1INwx
kJwGEda3S5LpPk7k6n18NvtXW6dE/2VVg0JNbUUD7UB7/UnWZn28a8b48V9D3n2kvNeNNZKG7WJW
gOwpW6UCx9/xuQA00wGgBPGRhqr18axtuvhIMzSXWzsH3KWk9JsPM1o2flnnKIOH8M6NZH9yme1i
jcl35x7IQTu7iKZN7uLNy3hAYasGIla91r1D21XegWaDWtKswlMRHAFqPU3v9OTDS+/WW0caaREb
pbW6U5CxaeGkjs71jw3J5m45bfXv5jd63gNUV0eb/Br1/QBPwjXwIlc8ty31FYDJBmdmwOuUR5KG
KBSYZpP+j+tMRapLC8A75J5QT0NgKM5ccqB4HhjNDp2zExpHBpujo7mRgDB3pA18aHDjBufa7fCm
9qmZDElj5h4AF0zgZZEPyWgAqzQUIvOTLSAw4kVcAyMxwLfqAp2Xkbs1tHxfovX4WHuthWZW5v9D
zUvxVIc+6piSAb2ZlWw3kXo1n880qCaIlgMoIqd39lmR6V2wRJutPilELVGWHTHXx5O2tDZ5kEs0
tYOTAZSfr2jw9h+R70K9ikjxhV5qxpKWpOAoYgGSpuNu7ETzJjt8A7z55VgdyYzksj/5dRk90iJO
BnYyS//SVxo6s8Ys1raiGEHtonYhE1236pXpe/EUNmqLHBXdQwaQOf3iA0UXYF7oXsB/QrvuEsdd
l4ogAGAlgOm1vGct19gziT7tc2VgS+3WHklsAC4M4JZTwT7teeRXD7Qie9PCf7bopi1y3pu0xZAU
QHTlXneJ7UEi09r46Cip3RXrEwtVVt1oHGkA4qd5RCK2W9Za6ixnxY2hrKw4WJHqRjo76egLP1qt
h+6laAAdSFWA88lA09W5rlrr3IJua8GEV6AxyAa82KeClrjldU5+8UwLsp+taOaHfbjB7wkIpSz/
11iN2oauD2fglAlSZb6GJMQV7veHwtPYbr6FnOxmv1xBPPCB7xqzRgNCqeGOzkHxEYph+qQ93kx7
qy9XYeJpCxzP2qMeDcI+kZdejP0Sif8EGVdgOuM4peDswMjpH5EAAMMHTY3wyhMQrZGSCXA3rmY7
mqF3CQUWn75wKCT+2eosSTfIsPb5tgSY1jnRi4c0qyRw/1PAsyOnhP7MoV53lgVaMdOpd1re3M6i
OmomWfA5u7MbfvftjAavFFn7oxx1gESklo8TuI7Mo9cA5U3vvN/WlaMSRyJD0R7ZR621RMcdoZEU
HCnWCreItNLKHrdccZiupyW3kR0cQeEDxF5UjUQBqj1z0ewJpSQDwdChcYJ6MYGWKBwUUAWBIBNv
C74iLYk0nDspHFl0ejOFI8yTfOyBVcjxr1PKWNujqOi1Qlc3B3F47IHdp/KWqSj19ZA03kVXAyn6
Ut+gb8UB4r39Lvr0J4NZPscgRT3i5PEOK+r1ZXuY22lFFozAhcrTb2FnV1tqfr3rjaUlKWY3kimv
QQ/k9k5+045Ldpzr5xZFVjsK4vHym1kp9B7V2DvZ0nSOYgY4GqWyR9L/pmFOCFPV9gR7aoGj4aap
jtbufbfc1Dk362imAmVZGeynjrrJhqv+PPD6IuetiLn/uwmf/wOkyzV1EzSIgLDTTdsz71rwS1Ea
HaoEw6cJ6Aj1gsM68Iy/i6pnb2qC1Cd7iy32NzK69pdE74cVoIayPd4drKewZyngscGHWFfVJejD
/ttYO+VG66ptWRbFcmaimfCScSH4zkzjRJWzqkMBRrnfEZjveGtmOx/IrWsDT+1l63GQLNaeuylr
N3tgxGlMU86AtsSM9l2Dsgn05SkbrlrOowoQoxHrUWEAslGiAk3wmD05vf0rVJSkE/Vo+VJ5gFWi
hZmincMMSn6gJTpomg3K68Q6NwDtm7fAABKGzK5lweWmHtA7h8oA5C8CHZgUBYCVTJPVuC5zq/N/
/8859j1EFQC9Ad7jAQnY9XC5cgevVkY8j3HJDbK83HRPnYaLGRAmF5sU3GIvRaqhKQiNPFYiwWjk
moCn03MHrEjcRTmw5E8TWFkGPJgjKlmfGqpRMMfAPba2fAwTM7h6IUrPaWZWIzoyqJUKeJhXVw2k
sFH3xIAL7bXIyS58gX06XmVLUjr1kOBfooxebKCc4D5OLUHbpB1Kp3n0VRDeSKSOgCW7QKF6fwVe
SL3lbastXBtwvAvgL/NL3O5J6asr9UDdjuu5DYQsVLruJjNykx3+Q4AZASrNMJLOhWuT2+xrKjc7
K+sdbwtEr+rc+7+AWni694//Fs9hrg72c5d7tn3/B+UifaWBXz14zuq43UXqDZ83FQbJQB45TdV6
1tixes9L8j0pZzktmQcUt8XsBqpdrMG7hXGaz7ppi9wAvEFs6ShQ+9z81ovsbfUR/hzFcj0Rbcig
QN35NtKq6SdAWwLbu6AHT0fTv0jcfz4mUfsjEUn5vem6dG1WqKamZYibZB+skJ0VZAe90wCOpayA
k5mgAzbULkHFxOwdlybAzpR3xVGr43t4vceNvrEYw8DbElXbxOhWB9leG1wcrVUd9qwAdyUyhZlx
muW5xVAqXntyRTIatGoEcUiDS3ojRQU4yaZ9PBTnz3YCV/n7dMRBYiapI22my71re/pplpdqnyIF
muTMUteafkn7AOcG+9Dn7HEdvhiAdjftU5fPwBouHwIDmUiFr/IjMvmz6gL54iaJ3KfIVWx0w03f
ZPyL9LWNDjTDHx4bG79XCnwmUIOsUnNpurq9JVkSmOKiLIhol0SlssCv7LuFpgcgDaqbXT8m4yKx
XeA/EWCn1fyFLYbrBNeJPN058IYHRgCgrhi0Lfp50C6ucDwJcpOlAViCMi3fTBieCsiz1sy/40Gz
DmRB8o+wk8TC8z+O+oc5DOoI30PPOKFz6DnO76FJjnfz2ABQpBu1I6qradQYSnpB3Qpu9jra11Fk
nCbRpG5qpp9owDkxPHXlnhaFDXAXvAuaa+5G4tShMyqMQIuBo3SC60UlUjP7c3Yn85E+OHoS+Ccf
VrMByVjTghmepjQMVVEfUkA1AnLK28mx098qQJhE/lC9FU07LnFRYV1FGaU7qYEqyEWb/CUADdEK
7Q/iFbctX4yhQKNtBgQ/EOaKbYdGCKAu6M7XUebOBr1K+jp1Q/510Mxmg9Y5f9JKG/RGtTYUG82H
MS767HVVMH1Dvr6Ga/vB7vqVDbQZUwTp2SpMca5jxtCDqqYkHGvmLiVeHldWWKaTjLRllcCQbBrX
34JzOjnoKswca5opt44X9c5K7edZSeHqsbPeg6AUH2SD1bL5NQAJdV0jOXLRY+mDujkzXvIx03BN
21oXGpLBbC64SJ8MyLZBQfx+5OyHJU3PWZDZKJhYAy0mW90I6wZXolookx3ZILp3FhaaJpLUXeVZ
0B8Ez7KvVqsdqBsmHQJ3hdLNHkA4evY1RRrFwivdEe1L+cqTclwNVuod89B3rhKlJAvZ9dHPoB9f
9bFADUCj63s03cWbsW3SN69F9b0yIM8RP/XkqQ34zkIdaYTa2/4VeI3u5BnifXATmXg+KE8yIM+i
iZsNA6uLK1GkvEilhoajotg3QxpeabAKVCFz0BxUUshsbaGVA4xH4LqcTWiGdxOVYDQe8GBFJCnD
bDsALhwgwyPomCabXP9ZjcLct4oegUSiFN2xdvwziaZPIWLbXgI9hKMg88POD3iCYwOrAnPn5CBF
qkZH05ZO7erHyhAGWCuQhlqA8gHdWIUSkJT0ThGvE7Nr9rNosr5fT94kpRAiE0+NIrsj0QiA8DVq
WXBA4kAKsdRQOoW7HEC+vZxlKHmXRxr+JNMVrAhKaI5VwP0t+oaGYopHHnPQkSOFOsv+Ox5pZ2Pa
926ZxONrgm+lU1HEePqNjjAAUeTqJ5xk40OaemtakdzqBn1SkkxXZjRrjDg5AIJr7dv9Igo3rgAV
bIF3mWOfJOE0I5mjFDQzPT/KF3fqP7ncyTg66vJFYbvlMhoMY0lqikixRq7HeOsHQjcuOesjDZ6C
DQcDmKGa8CGkNcGEz8vZGvn1BAUwcbIiO3SOWYcCh+g3vP38ssKwe5aWj78EtIuCAq9MX4FljgpM
hpSWxwDdLQSK0qLBeXJQBr6Nx0QAStu3rsxF4Xacd+2vXrsaRuP8j0xrFAvcmHJesMk0EeG9qZkA
ASgGpHNqWmKB3ECEp7oRAqMEJUg0K8BVudb6XFveKYBbyvZOyb+QLbhyUtAuKF/Te0GLs3+eREPU
PQDedDz0IEy72YFM5x3SBrdqs4xmtIMYvC+zfP5c2MUEqdCZdNwWGVvc/QypDIOlnwFPe1MWIPIF
oNRZ9dseCNyIkJEGBY9EM1/wSTmLZjNwYExKMp3lZPt7WFIWArAoNPtUTthLs+tnyFk0uyqvcfCD
Q6ujghb3iOkJX3ro1NdQcpMrnrCO8Qt625IvkkclutqAlkBy4Bpdir7uz7ij85aoLiyPQawKPGh6
vybCncpTNECkorXrc33NQDKFRsQPqqCZmYdkE4WP6zTJntnxOkhaU/9KfhW66hegvo2jPbPCn6hu
6ZNoWUfITtBxpkch2ikwtKVA9fRhOv/QUWjWchnpzcL1vMlmOkLJz9MRRUjcWttabeEuWBvKTR8X
1ksGiAEA3kblORpN62VE6hXX3y+RK/F/gbLFBVm5URFs/+REWlzB/MnJV06m2mlkOLc3btehNPuD
wFGisvLg+Pm6JypaUviG4nMkjY3Gm1hlEhIAewZbjow/YKDA+ycdHLSiuDnQjAaZaPgznNc0i5Vh
xWpognjc5l7Mt+Q3yW6mZH4XMjX7+nAfd1pP4xRldpXSNQWQuf/wSSh0ErrI84eZt0oT6T9UlnnV
ChNURdK3rQXJwFCEFpzCSicTkk0KAFUc+7w/zKJeHrQUxLaoL6j95cjN9pgXpo+cLVDu0A0eA3Y3
CLpjSULS98pIFL70l6QywsxemUPYPlhpt83CPAwWplHgJUvz0TpWjEv8pQDqjaGL3PRNHqE6/uqG
OVq0bTCxJxZQgYvA8fd+5KeH0bZvhz/JJFpx0YlhvNvRcnYjxZ3Mw+kHNRhIEd0pyO1uj9lk2iM3
T75maxvwElaH2Iyrg4UUJChO1HqaypCXhxwHCLEgg9mUlrOMa3WiL0mth3r8Pp2CkNV9kBsrs/W2
Xa7ZqFXgwRW4jfkeebJg0dDZSclIkVgxvglKkC5UdLZTClcr0KccGQuHzmy1UqSWDaS1GtBtFADN
6MjUdON4CEKADQdCQ8UGrpUvyFtd8GZvfLcrc0BBoJY+1nXfbqtU9Ad9SMQZ6KTj2gCy3peYO3h2
ZJn9CySh+FJDQx/Tu2ezDf6WKN7doSUP5aQNxw0UmqB+jaKN99OSNMDX/hFnQ3kri8GeVdlZv4+9
bsTFlepn8Fz54lY5Q08Z4pEowpvdpRby62hX2rs/yby2eZbRkB7IlgaQPEsQfFuPVcrrSZ6X2eG/
83DM/AeAL7Jvhsltj4Hz3HNM/XcU09hJOxscjNUTb5mqNNKShx6n4AfJNXDNAulq1aql3Re1ubLL
TGx4H3BUsLAR4MhKRfrSjoud1ho/KQIr88ZceanBDqODei40DulT7C5juB9PPWA0rLvO/oup/mXd
ZFcuq/BgqpUWJQxZUczqPO23wh1KlNX5gbUgDdkUpnM1kcg7TAqS+W3db50Rf785b1Ab+hm6yb+h
gdeL07NRjavOMZLvg1c467yqxkMFiI/HPAFkwahbwa8gig88ikx0wabAaWa+sUeVa/kUBDyfLPIh
uOLZkn+rHCsDtoGI8TJm1rguZPuB432RcFrmgfBctCIZzpoZoZK3d46kJDmQ6QCfCHLK9uytGauA
TkhysmhjDxd2fOOMmjwbkdV7K+R6gUQ5yGaDeyfg+OQFHqc89rRt6wVANlfC+bFJMy96k61wzrSo
Pg0oUpaOzebOvhzBZ0LRpi1J7ejf5yBggv2qG/4XtyzYg+C+9cDDS9n17tlRklkM8GIUKebAfrmR
KXuyG+TkRBFoQDsHexiAxLiKlRPJmJW81kMm9qQkERxBwOKeaVEEtXtIovxIK9oxqIBYQ+aN5Wvm
gjSVdb8bfSbaDdcG77uRKSk+PmIY+h3aqdIkQUlPgBzoJ61akrk/06bNcQAHapwXNMVjakwLkgCN
C3AiPTC4aElDUaOp2TBGZGr+JU6E7ohLFeElXEEvcFRUR6J9sA2neUBmpX0oK73emzV/bkDSYixI
S4NRFdk6YSijJzt8AX+oDd3D8y60w+0cK6wlMpSuK9bgGnKPydQOWXtxtTICoMARqtUEaEXdk7Q2
CrSCS1sAc05BZ00gV7mCvpqmJKXBEdmt5U0gQ28BpsHkdjamDSh226CFABVcAkh41hud4vBKBSSc
asp6keTuKEiHQpJVeF5/mpJ4PhHmAEbOV6m3sMRf4RgbOHD2ea2fuABMjCjeaxSoWgF8hPYJnSLA
FTR7e+EVVbNxrTRBtwYUQDZYt2UBELlBlug0HfUjFXSWepYdcoe/0moq/LQ883uO+ii8hrCyQpsn
agi/iCXNTSWI8vDFEIN7Nhy/++JLIDrZUgy7rEx2Bd44L6xEjaQep1cTqIjAjgGZLoiiE7ax0854
krFrPOFuwgLX0CNJBhAcbAEJMi5pWSoDwYzvZiuiE4lMI5MnMw1feDha4D1hDVu25thsSYvmA2Nt
jaDzSV0t3FqA/ZnKKT1VFjnXRk6FlrWOR6eW2bv70kkqmJwjzH6koGGKwHTxaESBvcu86Ifl4v43
AfLmE+/SYWUUgAukZaRklT0suzQprn3aD09NC9ovYJBYC1KSLC3BmV7Heb8H8pUGJII+XIhGgLBA
DV3UvM9s2ecCL8sf69km/rSeXRoDFFNTnDv1bDNHcG23OIx9bK4HDph+N/dRIz/o9TJA/jlchiV6
427WspLpthFdjQ5qpZ/XeTdUj0yR8MwxAIlQPUqrTDY6ipnXmgCie+OMX4EkimRB645ApWLZWzSm
T+ALrZ9TYVQnliqAKCXHx/pbA8f9Y5B58UPloc2G5LWDnKdA2ugCFHTtwssGBYjomnwb8P+A8n2v
O+vCAf+VGfxgYZed/vsMYiDxf3ftZOLCCWQKngumXouzeyh1w1FNz45onvpKIp/LuXYo1NCbzAcp
C60b9OyganeTeoN2IBFDz162uF9PPpNumg92AoTZTzeaidaF76SnrRqD9XP8O5cpGm1K3vdr0pDP
P3en6F0Jbh2nrzcawNE3gV8FC81tDEBLAozwfZpmRXAmKQ2Nl2sbj7FvUWUilcgAJ3U0ADkXnGla
Ozk8wzT2tmMaP5CLKJqgepy8C9yHDE67mSoB2nLvplZ/rNMU16ofKyocwJv8m91E6aXlqbFGF22+
s4JqeO2b6lBUuf4MfJf80ob4IyA5mVWfZoMmDyYKq59xHLo1s8xkCWoi5CjoKZowFE57ZXFi6mEb
q6qwUA1aB+RkJddKQ+5MlGaiwxq/+XkSpgcLbKyLmu52aQ2w22Ax/aHMazKnvwwDjGKTDy1JQTLc
/QcL+luaY1MsWpKiTEFDPnR/mebQgjFUhM9R1eSPYCdbtJaDZvmwq/WVDeisDfEzJ0prpB1qgyJo
Y6Ul34Aj7ZuUIBA0y+DZspJoN/R1B74ELH3TDHBNJo957eBLXYn6IWx2vDOLJSlJxtvoIbUt7Uwi
FGPbO3x7AU6fQnZs2aNY2kiNbFnwrH9BTYC5Dhp0dAWF0b9w0SKHJuLmgTmyesIvzzofg72FC/BX
dOKIjRn32cGrouoRmEcj/lfxK/H/ZiECJ9wNUtNPGW7/EtBzvsYADVubRYta/NiVJ1T4V2v0xbUv
Ua4/MoX66Yp8Mo0MGa6zXtya4pk9mRYK9VOZNkC7HKzmBYV4xsZxqi5cRtnAwPv0+zrsc/SshcVB
w+FsCXhd89EcAmcbmHxER7WboH8yTVfAdE6+I0N2LhzO/mqBcVmaTflmDowtCzuPrrFmebtG2s3O
iBTATOC2S4nu1B/CdTdVVac7B0XTq6BCMXJo2iFoFDKj2Dsi3ZHMVkX/NLPUjJY6tQiQkAanDX5a
wLTekAmJQCIJWBkbEJHgdkZHAICi9kSwRkAKva9/yOjXf16TmgxJBiC5ZF8HrnuOeIO33nVr60Bp
6nz1K1CLi5uU1jPwlfem+psOYl7ucq0YcWfm9a+43UI5ehfdmDFl5oOv6sYMkOuokxmidYAvzt2g
AwUhsjj/yllu7xwT7+ajnrtfI2BL4p+k71doMXe/1powtjgb+qtyMNyveg36habI5Zp89STRN7Zs
nTX5ZkGFemAwYGxIm+Y4hsgyBQO38rUdHG09VIxtSYtWEmc1dIDtpGUF0riVo6MwQnhtsbYKMDfW
cY38P4vUbZq6CjAN/WNagL4J3WbqRiDXjJUUvrYjczKcfO7daR2rFo8Y5d3IwQM+mJhyBfHaqiGy
rGyDxF84EdySwpKobr9ZkxAF4nJBbCyEyWFl3aY1beNCK9CLN9sSWOrLpO+Bh6a09ae2V1oDvO83
HC551G7KHmQjs7+lLJAQwXPpM7qw3OBZJt2t/+/7EyNMxCJ7U6CJxc31LQpompewzXCbjMZ3JNHH
+qUUZzvw5be0HIdL2ms/SFozYE6YscNWtEQbWQxEodjZTz7R+NS3jX8dM+l8YYBHpciJx5dhHcg8
2aegOSoVxURWVO9DLmOkgzlIRGYF3gNBSEFrra2BQkPmvZm/W6Y8TE6zOS3JZJYFpQ2OHoEj0VCx
79SqkJoA0Y5TP9vS0nWbp7xR6Fx2Z1+VFbU9eADHvLEKHTlZDaFrX8HfMMUiKzdGYiDyvOH10+oz
Vq9aKGhHsqLlP63IOXPDSz90W0fVlc6/aMSn/CdZm6IszKoSUIx8/lbSL+n0+0pCSb+6s971eLPy
G3y3UNjJMhKWQPFt4iw6VMo+o5TxCQWW1jkP9fEZbax4/QtTZ0XKeuT2tc3GVdigKQsNTI0OEEN8
D5O2C1FygtetYNmF6lbSSkoUNwiwz6tQNrCPVyOKWrdkXCa2fUqd7vsUSm0ri4SdbSf7920npbJo
kE282ZpnLkijBk2bfgjaQW3f5sA6toukOZDrnz5DW4zfyZ6ruJ8/vtsV0UMemPtGFQr3kjdHmkm1
/G9ZF6LTHgdM9Nkpt/8v3z/tUUj8HRRJmq3vNneonplcSrdHBZBWo1GKxzg28Tq6Ik8WPiEJ8Jwy
13kd9UxHvngstn3uAjeizBK82noWOLPxCNXxcvpEAwrjkqXJonhXRzFuKWUZHiwgUJ8LNoZPVQiW
LKZFm0qtSIQsEN4JE58BCBdBRNRq6DspopUX7LLYAYyc3ZZbcDvyX0Vb/5WHTv06pDJH3tYdnjUP
nyMTWXmxahscwKj+PnYG+o36EaXONS5wH1wHXxyNqNMnaeOduUkr/i3udcDGG0H8c+y9UwWw92Dx
f9sv9/PxOUqjZF1HJdh87QYQoeo+zJcjHns0BaT7LwDFiY3n8OJIA8lpZmXhh92sphn/tJ5iSSvq
1wWa401Qdi6NPBRXxwztHai1jR2KToprk1nmsilz+QYKsj2+7by/8nI8lRXrv4NLT1uGoPC+4CdM
9vrYgdxXD4Nt1WUb3Ch5FxoMVdXc2pq5BkUix7npN8WYRG9AqOLggP+QV53vn36P4askZOjVxarL
wv4s0Mp6HtTMFWA1Khr2P1zhsG5FMjIJPWPc6oL/T3R+DA6gTzcJevCDLVVFMFyVBematoTZHN1D
sQ8Fpr1medQP6Piao6tPQiYZN1AH//l5yCOjvecIn26JXwHYBa+9A4rssJH6GN7QFfbhM8AUL9Hd
bFnhSLEMXFDJ6A57KWog3Omx7V952xWXAIW7tCI5fmv9q2l3G88AOwUAibi2wBtLhGIT09yTHQ0O
nmtLSwdWfy0z2IDas9zghYEvZ5uoG8Z9P2oxgF2wGynMHn0dnu9tphXFN3m2MOK+vtDm9DFKEb7Y
8RgcJzNXDjumg8kg6cB7tWi5Lx4y9mSgNwe/I8HtoPXZvnFBSnkndxP0RBSxhfOVcsjsRkcLLwet
Zd56aFj/jEJBUW7gbKogchazAkhS3bZOfXYeDZTvjRmLH4TOunOYJ9oyrhPrp87+57HKf6scI1/z
yk+P6Gg3r24Sm4uhM8yfqCU7xbK1v4neSrc+wHt2TZ7lX3Sr/R6qCLlWAVq0F3it6uNuj+ZPIDjX
rXgFhPO2GMq/8VLyZAHC4xqV6BOIW5DNj9IcN4FakqzvjWErRiRC2t5mVzLWjLI9l3GypZVlo6LM
6CzgIor2/xB2Jdtt48D2X9768RyCIEFg8TbUPFm243nDk9gJJ5DgPH39u4TcllqdTm94gEIBVByJ
BKrq3utvUZv/eRkEdbKpwt/f6hH7a1h3rXIIVtFg315NQyXav6wyRoB+AjKDu1w0T4tlpg0m1L9P
1SO9nqSbaR/cxajvWmo/k6qffJT9IvCHdov6+XbrThdIseFooJvgeUdTj8e6qb10X4/r1nn6yec8
fPa+GDmteXGn8531zOsbnZfTLUbHnxBoZD7IISObLc7otBOgraul7TnKGk4j2QR1u0C1JbYIDmef
E9RNG0OSA9z27+PnG+mWXoN+3ec8SkbQCdpg+p4VNaqB8wHfPssuw41UJF7R2EyfIMAJJqM4ff+j
x2CM8uQx5OWjjVfQukgEUK1D1b4RV9xbvG2/xUHt7wSIWufIWbZvdKyeKtvk90GBo7brlM5M2/NE
vg1VXNxDzozvK2b0M73OyKoP5bj0LvHByZxBlfJkJ8oBpWuaybuBjK+ovU89UM2VW31xv1q/s7mZ
3eD7M/kkSf7+H5FAwv4RCLQZt2xgx0BTik92JScaoyxe+EMj7rAbqPfQVo8PEMOID7oFhpXPVori
JQnpxLW2/6ubpd7lUIJvaVpCmrSC1nhqxSAuxUJKltW2LpBvmHpn+9VqBCjAlarIr5MbVOM6T7uc
pxEWm/MsAzHc1cC5q1tk+vam4WguLj4L1FeyGao18jnvrXxFgf2cn7iwVeAs4n56oVt1fy8hMFcQ
Z6cvJDC6TWrkCwIZgpNJOmUGuPPkkqROCqT815CKgnoXkTmF1Dwiu3kw7GSddfimTE19CVUTrjJi
PIxt/mnS9sK3V6FDom2JfQkYKqhTHGoDeuI2quF0T196A3CBeY5dHcBq5U+85ZuVhCDUQY9WjQnG
NN2nUMKA2ieUbk4L9iopV3EMhLg/5O9DnebHVqbqeU3dIH9O8Lo7xr713nWjerbrLNhAG3yAKgsG
C2oBzdRCRF53S/of4CLb/cd30TURjGa24zIgIswrcJEq2BgMKJ+947Erx6e25saWWQDiaBXI0sC2
AscwtTrbglRAewLikZ8jJ7nIEWKUScOtQ6UsgsA6eKMR7Ow8x/bHY2+m8vi7AQjSl+u4LHMcmhD5
DQSixfqiu52O/jrTyNWwFeAED+a8l7Md2m8BMHF5uOmQxblppkuOVAogBL250l3wMZfLP/+YnWtw
lmW61LEIEKuusB1TXP2WnbxjUWeP9h0LxF2C78ShBNnmjpUNklwTUllOj2t9aQj+bmAgkbMyodEC
YqvkqXMbiD0Exk8fuxFOAhuq0eClCu08/GZUPl9arcm2rRP1BzcF8xa3gfu8qGM71Z/pUjSbgqTP
0/Vp53I1XczmumG9jjK6vvYbbStAfTV1ZiFVPcrXUAPgB3G242GOZ0duQAvYkvFT1kQ/o9r2fxr5
Yxjb1UcN0naQ6iUD5FLyccljHC7+/IfFgeD6m0moS8T01RQQwuTsCjwlwyjrSxTB3LHiqY3j5Abb
g2IbhWDrj3KEfJNy8D23zPkPIOxBhI0/ogz8p6rIm2feI+bnmgkqllF14CW9z/d2ZCLO7Wegm08c
+aZt+nLhc2oW5mvjjN98AC+QX4M2ODDGOE4Y5AkwjXCtGKtWSCTx56ZNURo+yYMDUT3DtsTfZyBr
PnLIl3hZSn9BKEitkmRQ1ix23GHLg3HYUlUM2P3kVrtmU18b9QUHVw4F3RpZCpp9TgFFXJGimg+O
TeqXeFpOC7kVsPAz0QVyga8f9XjTVLusrG8KyowjAQ4R5d81jXB+yNoFKmz9dFGmBCkynx1cxGHB
tCVRpSQ6tUZRZOWdXLqhgFhiACCJXkf7kMJfZ7Ux4vY1BTcF8KsH02/bRR4P0YxwSg76ogdOPgp0
eZ5d+NXyPHz20a2yCPDJudpd2XVX9HW6LTu20Wtqk77IMkRlo8kCc5EXvQHQHG5+5aNt2NSMHqA3
oKCeXMq2I5u6Sz64a9pQvqkdgCXKYEdHyLYjia8ewsBXXtzHzU+QwrhR2nyALJZ6jhGWOwWGfkPO
RhPli0gnmr0HekhgtlXHofzu0xbaRKhd8Yu8Pkzkiwtgf9VM5GN9CBJqpiuBv8Qa7JyPflfX1tYY
WroPyfbUGxP1EUXhayGiBEgeq0PaMx6OVQ5qU7/to7vIhBqYoIYJKGeVII7l5A/QWWxnEsoyTzZr
IBhWivFgOC1bDoZfr5rMovuSkmHdI627gwgw29huLza5VOkuZvF0yJA/A6ttPAi8qO35gvw+2KXD
tDdRu/HXCL7+sVqf+7oFAAsS8LqpJ10Nn202KMKxmZpWy2w/lt556HqhC9eL5sWsU/N62nnBi09+
ap6HLj7v+aNe3OWiGet/r556ccMLh4umXut8l6Qco88/1dl4ceuLmRf/rN9+oPPKILvlmz8/Xol7
jU21kA2w8MonuOD5el0Sh5di2kSoTL6ToIr2mqqpGUpds3jrmPZjnsTm8WTDozlc9YUCC2UEavlF
HSbm3I0ZmWck6jY8ATgbMBdbDjMHRNC3kP9lxwhHrswn+L20+JEYRo+Sj2lQX5RBo1vqd2ASbUEo
8GWnPp40MsaJQ9vGMCqAczIRBEyHqFifHcs8pXuf0pWfTvdggPh6KrFAYYMQHr6q2VMQRGgprp5A
yh7PUjCYP4WhQDmM21dPiLh8CFrONcH3KRPVpvncwXMP5TCivNMD/WSDTKSxMHTVAoqB8rltlVCV
0tmqrgw/52h3TQZ+tl2tAzClsdB++Ak6s5alxYJlaX8oFKrTG9cv5ij26g4XF9X1p652QVKumNvT
DO2i544dSvq8uiafKwg3Yd3FOnpiN619MbE1EZYqp8X9yghmhiBpFa0KBBdBaAJmEmR3fK+jChxp
qAE+GogR4tKLtY1KIG3XF20Pc4VddmlupGVw2+N+Fu0JET9DYgPwZOTx2k4sE3SbpXmjEA2/4Sqi
Oz8el1d23fVt/BNBJN/O9QR9qaepuhVYBNs709+ZHcClkO+JALkNfRAgh4MBLVKFNyeKeb3MzdCd
Limkt8ZJ48M4nKy6eTGELB7EtSMUH2pjF1uDpzpAOA3U2N9XBYRZwPDYb1FLTe5b3qIKdAAtcJWM
6aysoa1QCTA1nPpMFrPaDtpbPbfrkTQsoLXgFUWC4iRplf9R0+r+4xBpWSAINil2SJxZ3LnaeCIP
AIKZLHVunWHoQeDcQq1pr6VohV9Xcwul4MiUg45FlZYDFeAsRhgJVCza1trBMkP9M6AodMDkuG83
BGUpG61lqjVVa0opOAr7d615qu26BaQ+2C1NP4R84cgoMoFQsQHdOnh/CMhEl0Xc/UBh/19UPieG
H80NxCeWBN3SlxPrz7l/9skQ8waDMXYPkRHfjpNMYWQYN1ZUJLdk6gXo6THLqemjwcKjFZnxaWzq
VbbtrLgbjzMjYQLPKKODpnqJksy0jBcls/uHLHMtD0/A+rtyiv3YIFMKYmzoRkXtLxCsPNMMijy+
iZolhECae4P4yXLsc2NPojJe//lhbF8D0i3LYpwzJqYTmOm6V/+XINgBILH227uMNSjj8MLeB3al
JQufxw00QKS7SQNRQtM0K48yp+OcOKl8Eo4hPSGq/IPwZtZCTijwKNicVR8N30OlmGeVPfsWEOSZ
yWD+cF3IY5k8Bh5ECAom27jBY2fo2B4/n6qYJ1mIb0WgtjZTOXbNbsr2JydoPLTgD0Xe0ejEdxXZ
C5lI9Ro0FMf8uPa3wjKqW9RQYS9iIDeeJ307P4FAyolOAvmXfl+EywtcCHWf/vxXpNY/X2m2a1Mc
Z8EPaQLIeXWWFUEfjGVpR3dVDOq0qgDjcOP2975KgQhwgvoouqbfVXJ8H1j97jCb/gLluAJvRhq/
1zyIn3MfIXffrpJjV5hizVLTX/e8io8mz/s5g1Txc4ep+HMLz2UFXfsmfzccq3kloQBXRh2KTVG6
1ksrlg1TzavsVLgRbdEstFci+8e6syQCHRbUgS0ckNOe9TeBHSKHr8wRgJwon2cizx5SaMve5Hlz
V3UifaBxnz4U3FzUvRHc6R6TpkSClzabZvIQeCSvXGR05nqCMSooEKnqTi+mJ7jOhA0AeRiEffDc
nmqUTUeVNylQfaCVoKcaYl1TTMI8m3eKm6f6ZO2rBwxQqE0TeLQaBjzumOMkd9gZJHeJNOc93v4Q
+uN9MCuS5DaWgC/oQdk0yV0aQJjFtJCbQXgWLoaIfc8CmnMVT8Pah7ktsK6+SJa0GocAWYoRxRQ+
n4Qz4KNvZ3EwJXFBm9lpHY5Yy9oPFQjjJh99w8Es/S0IeF5OnyYc6/xQpSVQsE1/+8mmnyR8becF
yhxKhZ1IY4Honjj+TT71tOl8+Z3tNPdrGnCK/o5x6e9oZJpLxQzXi6UlHiPVzuw8B41gz+nGBAHY
vB7c/iUaUMyrQONw0G55CKqqyR6mJt1AQwVfibTfnkt/dWHwqcbXdnGwtIzuux4Fv3PNlq4fJaBe
yJ9VZH0g2kPvsiYFHMBWzUzDoSc7ReX97+xpHfzW7ruQFSFtCdWU9C/SX5NGEHAJkuOJ4Bc0YABf
tvkEy8GOzBuSUqzHkCvAcqa+5vM1UtTY2pDmOtncMFRIl5fRHLjrD6iiGS9ZR/cQ/FQ/DWO8AfN4
95LGEvzRTo0i+IqHCO459TKLCvMh6K3EA6c2AsWW9dZEnfsoZKO80m/Fe8ejeV+Fk8RVFUK0LhLf
A4Gz3JgOyYNEEnJR+so61GYFFuDW79dC8OgYA4Qy54g4bVK3fEkzABigDM928UStqVvaxgMFRHln
UhwW/xpgqZUjEzVNOTW1p+5frDMUUIAaWI6n7JdjWQCIgRrWWayDmeEU1ywrHyFO3dSXOoMyZaIY
YNBmmYXzyrSfQWBcL6NxdLZ9w51tVEi21d1EQTkQ8dG/+rFB0G8np5Pn15xQj2jjeVh3a6dG+q16
rUgm1mQKQvqj856UaXbUMciPSPrpc4RU2VEIsNdMHlZHQ+hgVf1cBzFpwoc5zs/GKcLJMR8UVenn
/IHZGZJ5fX70VYLc+MFmEPtqEXaMINcTgHRBX2zTITgsFsFnP5nge1muYNTj+ZXneebV8HlAL6G7
52VH5Q+zP7+JEPi7jl1RjiriaXcG3h7Tuo4KCrDYo+otbu/CKCgQ6SgYKI+kLH6AfWdeTIpGPc0e
6tQVz2ORDPN4dAwodlorvMACcEjgYvPiTYF8a+NK69Ok7U4FiF9lddn8akA2ebBFsuj+ys6hBnWE
3te8F9Bu0WvUkbmgobVG4SuOeQrANR8sQy8Qpm+WHWqfV7qbuP2zIJW4tWnc3GeueROKsnhpQ1QL
jjIdF7pbhGXtcZx6b6wmaB/x6JxpewXJq+3QJKDtHJzipehBEJHkOdvpUSee5djaPtdN2IDfOFy1
Mb7A2Tzi/V0cxfGqtwaoBoFbw9zFaXsTgxLyNhXx56WB0p7HSNOtC6ak8FLSiQ14nX9ol5MtdO03
XuYRmIwmlwTaqWsg62pPTmudF5ROc3ALlawJNx+ilqE8OzTuI2aXhzrJJapepftqRMjY5i7IVpDj
Hu6S2PlOrZC/BkARzl1AF7fdiMcRB8VOMY7uK9jcnCX36yXKTrvZOXheB2C70hHzQCKsx8jYrnT3
PKCd9WiLCpCVHrhaAKHR1EvjCOlnBJE3kTXe1BMsGH9jsm8mPhXdPbXanAGVZqrF2aYHqslPt/Sl
l32/tiAlVC0SsF7fd/FY3GO3pzb+FO/nzQDW277p2llpptbq1HfSdsYzyDNqb4Bd2rVKb0FNCbE9
4HHACe1S1JLWYbYjQemsT922ttW+ROQABNOTk+7rlvAlApq8gDycW0z809PwyTMkzbgu8nD0BCXG
wg9l99I77koX9iYjsXAQbMO7oojb7RibpdcKsPVgc4H/wdhwb6DFQJCpQZgAWk3RD97LVSgBgUO9
U7mqUES7Fn0mn1Q57rXD2AYpWBAgXHyeGZlB/A1gS5w/AxyCWhr+IlX1krXSf/FlW4L006H3pQte
TBQrtgda83Jj8kBukE+0D3Y60kUNcphvrQtKTacritcI8YiixaGDiodutIaVCmO+AThh7jRj9lIG
KHQd83JYAcZbvSQoWXK42XxvEcOcm4qkOzMsCcqfkWct0+Z7r0bqmQCKIOYRtDO8f7FPm6q16zgP
rTm3+/hGlOCBBo5qG7VSZDvE0+sS4QA9FlVFYM1ru791OSBMTggOFGjpGQLVC1GK+hXjOELx+3sL
ZcxZR63mprLA/l+lQNkg8m19d43hNvMt40ECubxpR5UtHUOYb268N5zK+h5zlH769SwDPAD0WPhd
nfQk3DYOFqUlKy8ER01zq0dkC/XrN+aX8S4JK/i3WcbWdCSIPeP1O+tw8uigRLfC2XWcErZutR3q
yKg+zBCUrgZokmcNSWrQwjSSfdPjOIjBtWHpbTWmgZeiIor1EQrGYsd5MLPxI5dcQtpOsgcU/Pez
PODJ5jSICq8FqkvFAmpH7IFQnm6yquxmYnJ2IkMdxp7gTYeea5fJPQPPhZ6pTagL/fOduMDTXq9l
/tud9GoRKHf/7U4nB4lS4a9/ExTHPhzgUSVl5tLKIaJrTxcDEIVTywcvLDh8p76+nPpnpxEY3Qt3
NcyaoYouLHrWhRfYa2cnKru4dB4YsBQLNelM42gDdGESPNWFG2z/bpcRNR577Nh+Z69AiruleZgt
SBm84ytqeCErIInCfazqGy+qxjlPVFG/jyc7KEshhV1FryAJG35nD4e2v69Q6X3yb3B8ISiWQlm9
GdrBLMWe3ItMAEsaqCGDdcoK5JLYBPEg3Sdd0+ybLsPLTTcDLcFT9xKgbpUvtY1mifwcliPDIk4Z
gSo9upx3GtDu+lJSv1wUUNkCvQFEfbTt5KM1ek53TMfwO6Tkk9Xps2jPEjFY3Awo0VVW+fenEmG8
maoAeONSFxRrm77Iqfz43L2wyWgVdEa1SaEKBBLSt0rFJc5qonrh0OkacUgEHLawb/DkU56223VK
F9wq4nVqlvWLKF2cqBEtq+uqvUUF3ndkyusXZaHe0ie2v9STinZ8kf3AIM5s5fdkYMe8qSLg/ups
qWI57vSFx92w7vCT0L2wQAlX0qRAbfVQBQecKIdBW0G5hT7v6OdEbcwKASK01kjmp0nayGkFwQW9
Ht7i+cpBImzovIzLNzKS/OhUHUHaEKJd4KygwaIF/fFMmlkKJVMMny84wgmc1aocOk+VHSwC1ZJ5
XOctuD0qJ1h0SFDOFIiK5/5Uj5QAvbEqeLbnqE+1FwLiw1sKSSB7oYcBQges2bi2tjIPHrSDnsB7
F+GedKwXfi2clelW7Z3p2r8gU9G/SRmUM3Mw6oMmP2myUs07VMTOWcjL49C7b4XTGE+o3I+2vIKW
i+7WoIVYoMwQGEgoeD41FHwWvrJBMTE5O6M8tiJL74YxEo/QZnYmJ71gFjhvuqcXdMyMzXTXQl3f
aUHdNXKwCkI03dOLatO0qAJS9q7vW/GY2Tf6zn//lJ3Ark0vevUpdRe6uPHFpzQpAKSAO5wWtJEB
LfLg+e+fMgpHf5ZEaQv5LhzP46x+7xI5LvWJXZ/xtV23/sPWF9dTz/PxzIWAk+MgYyDUADITINoa
UgDh0PQA5A6BvZNFj8T+16ghu0mNMo2N+czO2vy1c5m9KSrfnRdJWbzGTf4LZbB4G0fDcBvnyMCD
bfo1b6SYY2NIN7q7xqPxc2rrxzifTlNxHPjlNLK/BS9atwEHcb7GH4Bsz5cRWKNtXrQOW2gjfpIQ
btDNsDZVCaWuv/wJQWmwXyMsarYRBXNHNRMGCB0hfYwK08xTCP3u+KQ5lFT4Gezx9IdIAHj8g2Ug
AUMtBpGt+swtjzagSmuw0OI7EULB2kN1XnXMi7RYdxJkK+HEKdGPEiOqd+o1UHLJp1HP1t4xwOp4
GMfeyVEv0XfuCE6LEGq+HYJbeWLdySwvnrumA/oF1SgRI2wRm7bcQHzowh6PqLJG2abcsMk+4gyL
Q+/wJie79m9YVGxRAss9TYNbAxcVWQbdaKLcMzPugMcdqu8mfpsvF02USxMoLlBZY+fgAa0LCYI5
GNXJKuYVm/OY8Dn2QvVtHdL6FvQH1WHia/RFZAnULWKA11AAQfLeXEtagasyIrKcuxXUVaM+39ep
SvGGmpptXoMoiSFHp232kGG4wJ91fuEZ+sMeuelxrYfVyIBKnCZfe7dcNjMEgrN5kKH0xNPjF009
SU8nCtUOg/XDNmoHdebDMLPHoVnr7ugOOdLLjunpbqYYMhD8jblOfX/lj920881s3U9/5KCjGUB+
BbJTI2uCjRTDeAwS2wBVdnhUVIxHbdIXbgNcw4H79M427TJaDMW8YIeb64HzNDwdfQ9fW7E829Jp
0T4jjw24crfnlepemUcLfCqQjg9uzguVEeP7CKHxs0m3ApdKSMDTj/PS2u4wxDVHUtYz3R0jVPhD
aQ6P46F3htMqekTfkLZTyWJtN2tt02vpT5gP0cYF++/+vDw3U+MmxOnr68+iPSUDa1ZkDxd/Kb20
AbGnFTKRIxhiwNVgloHYxqlEUTKAhd/ZSDZtF0FNFFRms6YKxo8oNyKPGiiBIS60s10U/t6GHEDE
rjLAuojcw76y6mIZWkiWKN4VM1VE46vZ0PuiGroAeVwPyN8IJEQMZTRxzl7ATDCgSoI4d22srCXr
XEhA5y1ky/q8XhkoR73tyySaZzhqkdzuV2kLcSXb6mLi6WbVpysmpNpd2JLJZwA7upln9k67lRMF
mbYj7J0vTQiF4FQ5zgQHFTYSSIOX5pXxSqTz5vc1eR/jaqvcYQw8BCIQfypsqIkHv2rUcoBMqQ23
Pgjq3/02exM4uL3VoHkE+i20bkpwDpgTuYdrZDmqKaPGqzU1hzYmOtxOzBsjGYutW4BDxJkujTKd
/8oNkuvwkw2EuW0T/Iwsi/4jEcKcMBhtN6nveGE8asZ/zehfTQz/uiWjIAb/9eAgnTDBfED1sjv7
/c52nivspNz5KWBr6qNEgetjz0v/8NVrp56RpB8FgnqnsamXltUAgdgat52Skhaq7efI/9PlKWWZ
mc0e1envo1Z3AAfFWjWEHm0oqMxqkpoLBpE5vg+Gwl1U04e/KPM8F3iejBEJTDCW58Yi9lkDXRwj
OYSd69yNtvqABAe5gwpw4mG3k+8HxFgWNe3Cx9bC66eu8IoN35rEMH/maZN7cQEqJdMuo2UVW/4u
SFP+H8FC9o/knz3lq6A26xBHEMavslbgJYpio2rzuwr0AQK7uMw0v1UteQvjMX2Pufk6Nh15cPDv
WHVZG69JGnYPf3LA2SG+GUxa7LMOSCaUgTX4YeLFqlWp9euS2jXgxAmvl2dbgeqoTV40tykDKi5L
FUhfopg+ZmAl91KwWQNYb1mn7nkUfHLMQ63RFI6rbw1j39tGfB8hH3vPueVv0tDJQV+Brh7w7ZHN
kQOli7PN6NQPWhfFTpv8ugyAkJghRYBAuMgcZK/7iIFZEi3fHGFsvvrn4bKq78MsBJIQAke7Pwd0
bfqPYkQHVYiMgXrddgXE3a/+k8LajmMyFu1tYiJKa028TXmD+jZfFWBbbcyEo+oqWoc1xQ+paKBY
eB725RhS1BlUZI/QxRxCs6C+r/Ju3sdm+y3smLwfyCtiVu23xs/abzX+kjOnTNq17hLSOzurEmAX
m0YZ1EC+gWgaxMOhOOhZicr5Mq7MJySaYk+bVJam95bzojv6PkPVX64a4tU6lwQsRKHEF0XVdVF7
FQ5We1ShlnvdiqcRkSb3sZP4K907+ekpuq/93C5/U2Fb4ilrDMtcgpozR+Tm1aI2KqBl9YxsYrOt
UnNA3ouT18AY3h1SyjtahMVxGBGcsLuGvMZ9R2cltF924OWQjwnN1nodvawJPNbKbx/dbNtZiTEu
4xFqHENsZ3vDQC6slO2mAt8dOWibvmQ44OFNMBF/TM6neXpET84UNSpvmp0looFQ8rRsHmfuenQh
6DzIHmK2iBUOqm48hNeMW6NsnJ0K8L+oB3j6IxgBZbOiKlzSzKEbYcf0228mVoQ6O2eoEf3Pafcm
uncRCc8pxuhG49SKSZYDxXti3bkAV52xa3oAzNXgpZX4tV4N/H0RPchE418vUlIn2SmevFEc1HpA
1p+bEWhFbKYR0Jo2x5O9nezdZOd/s5/9UWd74W91tvmcj0jyGK40FrIVp3XO/np9ltohPnaKvLrj
5Ok8sLMVngkDCPPwVFxqYiX+NRLa3bDRpElJ3YLquaEIpQd7O+T5c9WHw7KX1NpkYR7epwGtvKh3
0vcvD+ECtqs9fARy7jMCeRLtAR7BPaKKf1hD0Xge9HIf+8Ld6EcksGvVUbfSPnsCWsvddMRow8XU
lZNb33WgTvpyubDph+rXNGVIsOxxnMQXPvZR0NNxnDCZn1Q0IQmdz2OAzBaBVtmURpEeC/teMyxp
Uc0m6tNbf3ILJzdZ984BtHsBVozFgNLdergZlKiNb0XGgjU4LwROV2NubPnfLzZ3D6j6rVZnu52h
qhVEiQG4aMArsWWFBMVttQ1LMGp4moJZ1+P7E48L03TP2qj7usXVoRtadoDIm09JclOODr2JsdcD
k50I7LlrlclcG/UFNcwYgdKW05bJTRCDBU/bkbsGKd40QdJ23TYR7v6VhtdncjJQB4lR1FmU3qmt
zaljpChc6NzFn8/wQw7i3rIFmUlI5IS4HMpmPlKTIXUdFQ6ocNEvjBZSvpZveIAWgbQckiAgA2l7
b+QGX1iJggif7uuhdhjKg27hWdjsuOhnkR7VA2Dl/xzVXeBB70vmo7Q+QblkNP3wp0tG2wnR7Xfm
DHhAf66NlKnops0FLrHXYZuI578jvSjG1muGQmHwzCJ6ppWyyGhnYCFQ9Up3TVSt7Sz8BL0Q6lL3
Pj34vqxLkAWCTOV8QXC+mGe+k8wC42u4ljUIV4oRp03tqfun1mhPa2Tpg9EG5UqASHQ7oHiFKMTY
XYg7BXRvDrWF/UaEIkndRDBPzVVBxpkFFXhASs/jpaLWvgDmyMv91lxcjKOo+6/5Skb3bjhk64th
PfGijyyk14GlfycdjVqdbgGKFev0YfQdofLYbANhI+v6tfTpU7ag5F65HXu9mqG7uf6HIKEZLKys
DGZDhUo/SpnlQUKBHPWFmo1/iEvbq/vcOpm0PXGtYFOkOOucB8rJhdWVWowKtBHcHG2GejwY3UwA
FTK0KNueVgZatPD+vHtx/4HxYdwUlNqOxZhtkmu8WS9ZYlWoJLoFoRGQyxDvPVIUfK07h3c4SDKI
rmWjmCd2FT+lAsUdEqiJnwGkSgFi+zW0zTOOGsGLRQI57xo8AQMaJjOZIDVkD7U8xBPLcE8hkVCJ
J7Pn9U3Tu/hRTmans2NARAe11F09Kfr5yYZcbYrpADG4xa6OpHtbTkeGr54eC1swt09jipNwiU0V
EF7IVBz1RVTWK7YF7Saiim39Ou13CDdDZwHUPMjZNFA/YWBSTUgdfyj1E1jH/AfpbQGdnHy4iUYx
ABVMhwXqb41nfJ/3reDxhxGUKHo02ENDh4eBhVl/B9But3HIACLjCKV2Pk8JsFyjuReZMPdXXfBv
jv9RIWhdHxJs5nKcDThlqLexLU1w+v79HmDj6v/+h/yvT3p8xbGveOhBbgFBALIPuw5qLbTrl40Y
Afjuo+LVrOkiyEzyyJpB7qFb182MFm7uVIokUXN2GIRJwddE9k4+btw+tYofZlBiL9sDB+32dN7a
rfWY2nuwaVevqHHYIo2SP4o+6rYyY1DZGwn/j+8nsa7PqzgBAeYDWTSwoxFBzSt6VijNs0D5TfDg
5uWCNtFDw2kE4qms/haYdI0gqfvcgKBuazU2KoYgsPscgF57XkPAZ6tHIx5tonIovvUVAJ8mCA+0
VznW43rwwWb40IDh8LaiY7oPnKyZm5EZ/qDu6KnUtl9dFRRLQCWrTR8ADWJExZN2UCZCJBSSkbdQ
IknntYRqR94nOMCk6p5ylt1XMgzWrjLV7GxDYCGeMbPN19pFDwxtPBM2kbeWDMtV6FYEQrMAl0AS
5F07KJkNYBJSxBPQRtoLXkTWEgUP/RJ89KGHB1JXe6CQewbhOYqqMs5ewUa6wLYXKTATQiKuBYk5
pxz4EzNBfTTZs9YeF1zUzaZPHbktwh5UJP02mX6Yw6hifB0QTNFdl5TZUgy5XGn67yKoQLTKwN8F
yUH2BOyGgxf08wB00c7CP9bvkx8AxAX5IqSo9fYnBuSI+e+dSDIcw6rbiIDb0gHznpfniflQjQaf
t2oojyWQzysjdMW2GaNxFyBMsHLTKL0libELLNQBBWUR77th3phOu29Y1e11CxjSz5a2gb0AoXPb
gkyBSGuwbkDZ4c/PTVvX3U40qP9P2pc014orW/+XNyeCHjF4k9237n1s14Q4TR0EogcB4td/S4nL
nPKtelU3volCmUqJbXsbkHLlWpAO+vG//+Nir8fwL6eLdU3cOP8Dl9uOWafKMudPgHnk5yLz7Gvg
yENFooFkqhS8qTyCRmBUpM41b7tDPubtvUDF1G0cl2tUIvR3Zc7GbVm6/V0s8DejHvl+GW19yH42
PVt3dh4+ZmW3dTWyCtIk6jIp4Ndsbbbg5tq3gCDvaFS2qlrXAehZaVSZ8pznbv6Acl4ACBRQ0FFu
ndrEtm4a1+ePmRjEoSplv/YdyR95U6iLX7NvUV2sst7MnyPZ+PeZFV+QQDG+CLPiF2F4wYrMzGvl
3gb/5JbMBukilD4l05FMngy/14XhQuMAU/WKUBlip7mudKhwnntfAT3aHctI86JWcktPBOBfxZp5
Ezv79A0b2jXA6vnzoJLgtmv8rxTljy1213qSZ3WrCYqW3bENBldcAV55LFwwL8cR6LAhyVqfsI+C
gKJll68W/v0d1YD5zbQBcsJpJkTaguq1nADKMqOh3ZmsRxmxh73JGeWq3tnqExwwtFNZgeALJOWR
FeZ8s4yXhfXdTiuA6a2wb85d7O2h/YZSdP1XD5OguQ8E+2rlATS4PlzR6H1F8Tter4nprTDs2aRJ
FPbhUqOLQgacqQjwkTAwhVe9OlZQhkURI65AwVNcgOZD5SD40hcsgXbfSZC5QU6zhEIN63+Ehlev
VCviZxNoJwjhZc1VxlyekEEb99AEKu6biCuouibsTcjshuWV9RPUDABg8eK7yFE4EeRGBCEbHKO5
2OcAWzRm5wK36d0E4MSDF9SAx+D7+zWrvaNI3eCF+8UJf2X3yrvMu8oqQE+bo1kEK+yjwy35/BhQ
83gcLLwws60/OdarP6Y1zsVTRzOLDw/jzypCLh26Vd4PsHOuJ2fwvza1Z4PLzh1vHZ4nJ3w4SN0j
x/5EsQVP61Ud2OAhHNzmYuqmapjsVr0hcZyBm1GTmumerDlkAqphKGIx3kcMUr+gNrZ3Y+7IDf2n
0P+H3eVrs6nZHXhu6vuOvm9Q6Zret2qg39hGU9Zfl72a4YTNDkQHw5p2bbW6SQfP2UqgCl54DaEm
/WV0BfZWdmiUELqpxqPRVgz1GnZZ7FlcN7v5Op6XmMegF9Asi0Ho0oG+dhPX2fSQI7fnGvUTPakz
961i+WKAsax+ohcnhNEIxJbbi5/n+h8mCYPfQuMBrHLQAGg5BJbGqf7puthgT6ApCoPii5dL+dVr
ANSORJq9ZdEXaV+cbvLXYS2qgx+BsGzMm2hn1YgZZDp9Ka1EbkrPsm+HSeF4snDECULAyRW5ALZN
+qh7lCWKiqAgl3xtcTSuv11Vn4n7Sh8v8iwHresfljLFqcxDEypQE54O+tTSBpvnlkUx3yTadHQO
cBmYWMY3eJ4gY9jrHfsSTYE0JQORQJLW43ZAFvAEKU2QmOteXPfNZtJ8z3QMkWuS54WxeT6VkObZ
F1ASJj/L7GKNH9BdGQNu6b0c4uMQB+bbz5AN09toDsnRrvNha/DKehNZfT85ZfLYssS8gkkbNF06
OGtivvZUOV5xMJY94sYAHUfEQ8R83LKsEqtAxB4A70iBcJtX62kCyUM7fjG8wv/BWwhVWXUcPwKC
be/7XpVHH3utojS7s5G6GSSg4uAap0C4UY98g/Yl2kc98iUMIqGo97j/F7H/95rGUP96RVrPSI0v
ec5RDKKZw/1EDbcJRHFnS/OCu7y2D6KAJi/5qAGNId9Ymp5r8eHc+M7R0tWopUDlS5FUoAZH9mVE
GU+EbeIBQOP4YAtnesq78K0doHX6jwEZAKvgvln5hZ3+wIntkdfISYErEhgjKxAXu8yjqxnXxUal
affVgNR3b+Tpj6BBLnPCW9Z9UQ4g/BpQdDHmZfIU5qAbaR3u3naR6a2spvOw8UC2MsmL8rngsYPb
pSuOZJrZ6G8ysBrukayonvMsSnHzzuIdjbq5P+09KMFuaNSPIA7W4xB3XSRgxCpzP0I2FY/CCu/U
+J8bFRLyY/kNcgCrPsr9H9DERulAJPzHEljd/Qg+4iPFhgKyEQGwup9iK0DSH2sd2+vYMKyDf+BJ
8D/vQXF87nhQUvQsxvzQMz9V88vOSsyQS/txfrYhm72vINe6Mz3Jn2rADVaQIxG/q/Q7Csia71CX
wS+8cMv7UQCiD7AIKrjqsb5P6y5dBzLovrPmt3kKSl6gRSqMRy/vQJgweu3JwaPjxmWT2CRdk/7G
+vZAsYYqbhX+ab+NCSTZWMOaR2u0vAOoDg7CsqDUA8p0E/z6X6Et9dRbVvEUVajpCbFN3JLfhm5z
ZhVfB6k4noRFf5RhcAF7PT8P0ehuQRmb3hlu895D1srdDrGR3BXCdbdK9+LorbQdwDE6O90SGyO+
u3LVgMsAqUPPfbLzFnqNiXpNBpyuUtjETfkPr7fhn/eUnhWiWgoKWya2lo6JLdinqjMbaWQoFZUo
hwF4Hyl7/4Q6Gv9EPeujt/g6fIQYZQCHv4pdwpb5/5UP4GqkDaBjEutSwlm7OdQVg2STwrJMsydV
dNHuk58iyDdPI3vWZ6buMk7LzJrNerFemBGUPv64SEaC0bOYs4y/eWHadWAPL8x4UyA5fqr+3Ai8
MZyGlgFEowe6dvKwZ/qIoREw3fjHsXte3J9m0QD5qAdUM+SaF/tv5y0hDFQsq7Qb1Y4OUgUT7TYF
5fG6HGOcs/o16gkD8JIUTf4PnOa6SvFPmWYP+yIov/uBg7MJ2/LNzyQd7jjZrHSb4K6wHBznjpui
9/IfaRHFeKePa7CpZ94BytbiMEZe+WD7wGmDJgP3KNzc8jr/oaYeJNLulQCicZdi19BI8y7H2E0S
cQ4cAZCjoEgByChL3wcyA4JINMArDHA7Gu6QKphaJGxzYR7BIdiC3jBvTaRbyuDOG6fgzm0LduAN
uC4WX910xjVR0xbod2msKA7KmjvXzpwrWdQEkItb2aq2UG4QBXc0PwMh1nbikm0oxNGXcKQRzJcg
H8X1QX8fa3L9KbN2wrDYYxxz4y5sOCDSo/PSCys4DAY4HshMDT5BknuMTmT+5yRUt3WrImPfF1pv
yNCqQHh3qMTMLmXQv0IwCPBmUD7ieBbHPzXezTa1CwwtihSCV1GvB1TxvSlwwIHWZEy2dHiE8vvv
wByFd2WU50jklqjV04dKNFuT1YFQw3E3TVira+kZAKoWVfrs4IVzlfuAXA9QOARnmPuTNeG934n0
bbIMMFrnlnsHyWB339d5fpIsfp+Oc8/36VPQPKQiv/ICGRqw+t1bZhjfj0mQPafCgrI93EnXqyvy
T81q3vg6ibevJ3Cb0GgTxC4UNFBlTaNd1N07eo3+jzWAAlpFyRCiXtnzwQnkSHPTWz3wkZrrCO9i
KHHI66C8GeoKXxq3jjce0BX7WdAdtVKgdIXOiRYgh3Zj/jQCcLkaldNdWkeiOhPFlyibyIodhWQ4
Kj/nuFVBnBjB4CDrHm1sbrRB8XVc4nQYte3HiBTjW5cNO5mOYj7HC3rwdIctsNN1FlxsoyjW9KcI
vDhbQw3TuAzTMD3hJznSHxhUKfFeMyfs6VRQT3fN3r3h5Xii+hEqMWlSnWkChGKzVJzwKCkg6PdC
vwYKcGpWz7+VuRCF2J5Y4b5PHRrwrvhT2x8NT4wgHUFju7w41VN+lL58d5F/0KbgCX7ffgdqIhdn
+yh3mvb0i7CKvEcSEFUl9CtpGoPfu6AmJYsi3Gi8N9nY3ZBF0/MkVPP0vJf9scF2YhWyfjux8JTL
sn8MoVZ+K2oImtXcUa+VAaQB0ODZwdMFmJCYPBcVk48lylJueR1Bos8V02sOIcq/DYtrDkoKPb3R
q2G7kakowjeJO3G+K1ESePZkXbN1GlXgszGHuILuN7qf7dZNeLWiCXMXrxbPQipnXmT20UxR9dA4
pe4vk8j2C3An+qA9VZ5/nXzIRoHhiO2CDjk4TzfUsyuIIfldyU6jJfaLHwIQUL3tVNyt8zZKtxSH
nDVyMTQPVSLj1dEJCaw+Bgn8FEK2C0arjUROB9gMbAk3ieAlNLvGcR9F+Y9F66dOcEQEjnSQoutX
fxoYpFms6tYWJ/JR0457J8/6+9mIovT8d+vI+Ec3Rc1LYE/4PzdM6yxY1XxpwUIA8EH9piFmBxGO
+c7TJs6Zb93OSB7BdVPcDAUYyQYVVG/LdIa3xEeIte1jWfyei0AB6Q9Z6CoeAI1XuYAgtY3U6mJT
j2L0DEiBTjuKI7+wfH8FXne1GWxkF4QRRY/U66rGmHvNR6/igh+nyAchbiwKsJ+19R5vKM4Lvjh7
0hf2Q9teo+rFvI7VxG7kNGUgKsZ5tVe7F0e2Ajhuls8zITzhvHDxNI4gatSf/tPPsZg0ais/OYxg
C8qmyj4Bqm6fwgScvOuyKfDikQlkDqc+SnA2h/HZ6UUuhijW0pDh2X6f8LEMc1KwI4/dD+KRJNLK
Bln7lZ2O7W7hliR2yk+m5OmdG0AP20CFyijBJEdNC/a8uUemtNvyGKj++sn/KdbVdUUchY07VFr9
Op81rXvw6r67G1pVroU3OBALEtGT00Z7uo12Msr3rJHRju62YWEDE+zLJ4hRpdccOqDzXXiZngRD
9IRipz2PvhbMGh8I8xbgvcCosudWZ7P+MAgpB0MAZvb8RxhQWK9jxbaAjqCU32VfskDl9xZQKQ84
BlDQwQXZFJnUVIZq1qzLIp3r7R7Ih0mjj+MNwKqRlxvcaN1XCU7+U/6lNAf+iKokcUnIH9g4Ks+c
bhPjLR6qEkDLXBqI2Le4B444543iahPbcbU2tGmqROPN2G1FIeSjOLfNMGWxc/slwgb4TB5adF5O
L//JN18NTJyogga99GpCjfwBeRJ1pqYRE6gbF9smKsfFNiz1HqkA5dwl/vQ7DS7+eYUwKtc4lv6K
3CzkfAvZPfRd0j0oVHaswtQrT2RKMyjvXJQck0UNBPLq/adZjt/+Jjgw+OZqwIMcUA2RiL2PZNlW
jdhx10UivBvLGXaJMQ4no2s6dUIGfgu+zOo+9Qv2qItWkF5xnj8su/ft2YLaDH7iX61l7L+bV8ra
RNbJABmQaSevAbSKudO/dKmVXzMOthNyt8DWb1E/AM16HeVN4QPUa+U9dk79gy+6K0XhpZUdTK8z
kIRBFDgpEyAFeINMzLy0a1b9i2tE70ujnDF7tA01npWfdzeDbqB4H4HTAkr2WVybFt7M9ZO8Z+1N
CVm92orLoxaqtfdhh/RWE6RXipiDoziTZxWGu2ICunwzz62nAIftVgJ5Y27awC+PEGWxDHudycnC
BfTadP0CpEfzpecrfFyQQvKhAZ6xdow9Xvv2cRz7OKDLk/uaD48eaABQ9MzCQ2hF3kZZrfsyOL25
rqDyd4KCrPNSgZCcJkEdO7kvehv09K8+9gUHqwsOAUOZPv6iip17bLznBv8xITLN04SqVO2MqevX
9gWAl/J9zhL+eY3ZLiIert1kHMEehTVoTeo5WQ6Y9DJ9Gfn4VPMFlxDqzctSdx5v+qA7myjYDLOb
MHKN/cKummhqAuJh/eSjgU++j/m1ZlCgCGoA/36IWQqO+8Bx7thYVWsQqcR7Mm2gW+7K2C+RHAU2
lXzUWKkqrmGYHJDlA4c1+WJmH207Z5cxwJdwFZbZ+1K0Sm2hAkSBz8ILS2cnOXjq+pin931dJ6gu
J6oCBhSpZYEqRjdh7rtnIAXmCPJrGa8bN8MvW0+ihvxJ8r2eYu92cfeJcXGHcLwsrsqE9jOAhKgR
0cvTgJIFSAFTXu2X65pV7W0gCltuQUFRx2tHf15vAmZmWYs+L/7r2tXiE0PqndPEv19+rL4MUKrX
oXwy7V6iasjebInSPJs7SFBq05fV2uTD9MWqSvfcAd+1ZtpfdR1bISs0Xj3sM54qLEF+MXViX4O6
cEfTeTVAL6AKHlFIFGAj5rsr8qNO11+7sTscqz5aGc443Bo4TrxFLXazBiFXvosGBt/HQAcm6ZXV
18aeBpgepV41OM9eAVHyJZb8iY+8CIQEL5/8UE0FBWF4s7jjKZFX6WplXHyM+br6s+CWEp/Durux
R1tebQfcPaCWgOZA+2tDvoAl7z7mbGQxuOe/Ci3/YiZTQFRIVu+WZZcwVGpb7eerDsiH7Bs+vX26
xCdT0VxaNUdKbANRYR9oVHz2cWrZiaP4ZnTBbANEb7qS3BzvqCG6lgn8BW1WqpvFbzYo4Ueh7YR/
DMQSOYtA2vfz/NxFpgfMgwVETyz/woEzQ6mMEvFusDK5ipUCRZRtN/4FnHjvzRjndQ/MvHUcwc1w
pAGaPUfPdl+jAKwbvpEwjzGFzgPOKcjgYOx8bBuv2dqoGNqSrx0rF/xpcwB5CjlBfMs2zC3Fu7gn
P9QoJdfaP5UJFsMsFt2q7EaIxLJIHJIRfHGu2WS4n6GIpbZavP0CQgFRVzS5jqunBgn8wah25Gt9
YBixT8PkWE+G+iBsnKYm0GmwsctftUBfulEuzktj/9mkgTDqxblu/Vcp43a3uJZZVhSiHEWHLT7q
/e1yNGMJprm8g5ZlIIEbbc0Cbzw9RBbBYtXvZQBqHuwagE/oDVBNQCyhWBde29y3hdvcg9X13Ucm
DZCva3ag0Do0SXCdzCk6WbopIweiWNSlxhkFhBoSp45Oc3cZmkOLIPax6VPsfYFfotQkm71enubg
Lm4fpNnucs9FsRqeqfjWes4FQC8cvFG3ShJw59SJcY/38Aq8NAkwSgyEe6u5q8NjBYITH4nSUwqx
LK/PMJpiD7KzBxw/UC0eNR1nEOCV7NDYPkr2yEd1e1TR9+cQ8pMrgGrg3kr8h9Dg2ASpyUI2vbbA
Jw+TeqU2qfdX5r+Y5oy5lYOLZXiRUfnYF4516LBZu2FsMDaNZVbPQPnhPgLVxO+20+CpAdK8VZ/m
oIhQ4zeDAdeqvN56Gryg3FoSghShzCsIdLbsoIwCBIx6JRRjVs9QzgWxZlZCnr7HwwUKZ+6l6sb3
BlQV9jZpA7UiH40GALtVG7ILHdiB5WbVqMzbmYaFv5OfBi7wOjWrNqPUak6gXyOLBmiJsa0SBP55
8dlpmEFzABqodkxgK2xz01WxeeF53J+N9mdRoEJgRS5qzK5MIcjBd5aBG3YSVeaF/HOc0DY4xDCF
I4MeghfuRD4PWrnJiSIFjlEijB7F2ncbeUo6jr0vCtuHEzbj4BDxiq47tHE8nIBOiRxIsykdoMf+
w0sOOcnAOlPAsswSP0B63FpTJPROxFoxZLSlW7TgbgmbuekH+6abUMX5yU9mhmOoAnLg1yWe/J6X
dhfmyvUnP5lQPUeKKnEeZquFUHPZu9DGWuMVv7hyY+pG8CwDyXU0StWfUZl3C+zjsI/Sqj8z3VDP
aVAHvwPoQv5q0zjUw25biYJCz0yqCASsmEOBtGCM9Ge0XhaiEb8vQygP/TExzEA9tKKYuUszKZJZ
AUi/gqybnwBRhz0ryvhv6FEwSd4cJn8A8YpTAs6knx+ea5xbR+XrIfLabRTLHpSXudgbqq4BEuP9
Y8ar6UHh+5n7OC8kT4ZXxMRtwQGjzSiJ0gvQ8D/IAmwGYVWNdDtekmYLGN55QTJx9j+eUQj52kcQ
pQSMiYM/AGSuXgG6Vkc3ZFIzxGAfYTpkRBnhsJlHNB0rjYwC78OKeF2XJZaJy9rL6HKBZYVx1LeC
eW39SShG6UsvKwjTeh07x9oTaxAbE1Ad4i1rYQT6RBBE9EEUy0cQ9erYxUWzyKQehZH5EUt+WlLg
3+70foTqS4jalEn7hFMf4BgnxgHEicLz6EbVYxBUTwURh3z4S0tVjzo+sD0ww4wc9aE+EvL+VK67
yt03LbYwWKoDjxp67iAkvtKGXa0Wm3qzk8aXOWROyqnBcm6C2+FjMRrwx9F5X6fSIzQ8OxebnBQu
nNE6MMOeP9Pi//xx6NPOy3gj/ivM0HFRBphatYU+ZLqItZ94/cmkBji6dWTW5nFxUe8XaQCy29Sp
z7MywGIvcxa1AL1gKwd/bZivBm7sX0IVbnOz8N6CPnJ2tZFbezIT6Hjmpeu8tEYen7wOTATkV3b2
ZcJ76ENrpvENfj9sRf6iKEGoAhHKKwss+4GX8ZPtpf5bwACQaPWzYrCsGwYWo5tqiq2bpDN/VF7R
H2LcBwPgrQvr5EDX29cRs0/6bofK4UJh9++bNsQ9/1ghXVsRn97D3MI2t5Nv4MxMz8XRIXJY1O1Q
J9Ck1njKB5zHrei6QNspiKDK75OmHJZmB8ZP5MmCS294yTmBEMpZCbsCB9GHTc4iLfH2SV1qaHiO
JBs7inqdJkrDP/7tGstCToyTNccEeL7IQO0xGWolcCq2BfCtXAMdEkFYZECVh+/bb0OBV7aoNZ2r
EKGjQC3AzXMCQTqKqKfSvVKPQqjXq/x9KTKpKar7xP5ClZhd395UXGVXqtysWpvfovZoS2PU1Hh6
HQoFKs/F1yrprzvO+X7x/XkhKMkMV6vw90C8gWFMIHUFAPN56ENx9nvkbtbUlUakyhV1aZzJRpyn
ENA5T+XhRuWeiYO84dfmv/IhIfE+l6Z1J6UiPPs/VvwXi1WQTcwBO8OHoNVAlX7ym6K/dkEndyVP
UDImIv++i6RcJbqct24F+K684SUvC7nzI9MGR5eF8y8bWu7gmeanpI37JxFFxS6GZPo2aTyYZZyg
9rgeVzRqgn7oPgzT7QgOmCdqoM5xRNYhvaN402oANbOxl6ZBD68J82qtCLtjnEdgnis6kD4FIEY4
Twa0mqm3mAAQSGgmJ8mWfHZgt2dTN4UEh2adXFvlZTfU+JBwRQ79oWIdcnPkatJshV2rf5l9vWiO
KHVxTqFT4e2OFSjECqzkTHIpv+ijjMZec96cyF9q2atlkBcMyg1taK0T0IPGMuDfWqGgNR+3xS3L
xvpaoIhujftl8g1MV9ui7bNXWRR4TvsCQhsMx69cqBsKCBJsiGhmBCRvEpr1tdIsAWUPpeJ2yL7i
XbS84YqXN0r3AqdUx/dUMNA/nrHqJEjzwX8NXif917jg1R8ETNBGkZcwU+F+csUjWUYCV0esUb8E
DopV69iZ+s0vQ1E31oe0TB9KnYimJo0B1Bxbz99TcnoZoF5vNb8z1ojDbGlqwXmWmVU3Tht87Qwh
58FUuzxwkUPiGan71lcKD800PBVe0D71nhNoKQt/q+q+fQLkHozOCVcrGs0gznKPW81a8Wzq1sBg
3rDKTm+jouyeXL8e184YsAPFml7W72tgjjdISuLMpebHGLDcejW13D6TpvtnmzdBdsTBPzjhIfSz
xE3g9n5XhKcRN6zAEuELfolKU+C52vXlky1qXTFS8LUuabsuTQ4Cm9mUOGw9g1t0jlj8n2N7sNr1
wt3nLr4OfxX2L67ldshIgm0I+u6TN67cqU62i0TRX8obLXJHn4ZrvYKtV6ABo6JfIyilgC8coYGd
mM2LQDoDzKJ+EF7atof6TOEh49/mWyjnuBB1n7LoMndBlRNdyBYWZE+NJDyFDG/OG5r8Hs6m36Fc
L/azSSvOw3oy9SzGnXUd1+WGFgwiq7qY4O4J7aFcoXJHnDtsu0rwoOFmbUsvPZPT0iOKgshJw5k3
/W6VItAVP7j9/+USv6w2dyk2Adf9BvXM2Q4y51+o1KXmdogS6Tq/8K4wHqq2/SJ0RXKfj3/p/4t4
Wqf8WCdzpuZYg6ETHNvjRmccnlFq5CGXNGyIk/7DIk76XE3zGHHSk/XneUBOfFplmafHsr3RxNNy
jeWKenSJ1ddfrI8x+jQBgCK9XYChn1f1xhGGXKVtHUQozavzs9SN5RVpuusURKpGc8rP1GMy81A6
8BEUFKMCkcJ09WkgaEGdsVrCTVAaoUx2LDesG9pr6fRyJ4ApAKo7b6/ko97Y+u2Veq2Km7PRYCOo
J/i6oV5QZ2qcp5n1dHagQXecfcsq1GtiUMbmBQooPw0s16CPEeQh0vb6YywDNIOu+fExmhCUcX0l
Ubo0me7Jar3aPFDXoW4oQxcSBF317qUhvzcSoM28xj0F2QioGnW9yWzA9wnqhPVYsnFNU1ljeJDk
06vMC5rMEitU1HqgXeHFXc9EfsgbBcpyVTHITGknqn5B3WeAAQdEXHfkwu34PY5MamiUN6BlYDY/
L35aM2QSa1ptMc+nUR2bI8t2jiZchVzYH/5xfR0b9VPAICP0HrfM96swO1ie1a/oqsvAR+ziX9YU
uGFvbS0Ja6xsYTfbgSrlwd+NL0ARVNt+LqSP9MnAL7bSaZMxizaAjWzx46izm0h1pt5sjhOkVZcR
wwIrl1W3uB1pjmtRa+Jr3ZD5Vz4KGVz1PHNof8R+mkomzaflROzLPTjUQpkeRRVnKwNUY9h7+VdW
NByQG/5r84tvCOMjd9gc4aYThAihk4t7M/47Pcd7LPPSvAPz8Zaqt6lhdilWTVLY59k39BBMxCsK
Kpgh32GQ2DjqMmtm5Lp+vbkisWhDghbQcFtXl4hHgH2jb8t4VUFy+Z1cRkWGuxl4Ud4W0C3e+2Mj
L8xOm2MimujIesM5W2nn7pUF0uUeDMfbMiyHe7u3gQ0o8uCJJwzknmzoX0tXJGCJSeU31YubTg32
zw5C5HYwjsAdDl98Q4tTm3F+sgZz/F4b4zeTBcNbEuMwvQCvBSgFg3DN8RkeeKW67fKxgPrTdEBB
PX8sMNiDOdPN3j8WCNIZwIc2apjA1XTMReM/uJaupR/sC6QW/YcucfyHWotMWhUqGrMct20vje37
PH2iMYpKcT6yFSCt21IADbj1uAFrbHpHETEqpQ6GW7Zrugj5uDc82y2KYige77LsNAXAMtAaFCFR
IbfyR8gjk9lJKKonOF1druIVLN5EZQLNTf1xldXY96H9iGS4QrmBAjcGSIP5i60i7MNT855rlguT
g3e4j5BoxzMfFB9Gm+8/IlzZZ2tUnoW7gWU9MOpQK8LxOepZqFdCZRmwjtpYk4n8fDsPLHESZXn/
QG1kAU/+GR8cAPQPlLDjYhACJ58w5vjWga4YG4S7xksPykSBuc2yYdXzLPsKxcS7SQEw6tcgVJ5S
xoETnDZ2mCe/R4H52teZ+YZsI1vVoXSegqafNnJym7scTEUAyKMoTXCFXNMYlUebrUWd8gMBIIFT
XaVVlrwESZqfM+7HG/I3jYl8gfDdGwVZEki2Z4+E9DHLKNharQ2VRBwm5X7uo845V28hCjg7HBd+
k5D12hgAVOP/XZW3Y+ol60YP5PZ0Blxs+lKAERB7JfNkZSD7AZDERyq1K24Dw7lNjcJ/YmPdPfX5
OtMGeXqXX3CcG92WbeA9hUn7IIdpNdS8ePLNOLvJyuqRLKldtrI3yO0297gX5E+DSIDI8Ll9bJyu
eJqyrNubqHPf0IRANGqXqiY5Z5NX3mSuMwBT7OVbHy//ziY0RHkDIYNhnWmnk09fS1b8bIXLc7nK
QeC16lVvrMyuMQ82YZO8Y41S2IdK447cyPEPaV2xlamRStRQvFdM5qEzObBM9bmy8vIhn3CoopAC
9PJgjarDFFBjgWM5TUBMDZmx0ATEQE9gL9rY6Ba9+ilLicpDHTjpARr9NO9vzXkpmkbroRb6Z2j+
Li3NJgdJctsrg5MVGv4vzeJDztwH3+P/FUJz/0XcvwhhYG7ZYwN7+Rexy2XbCY/t1Wz/+ZN+WqYe
LlY3OqfAAisWqJK7M/WoEb4NyVzdUI98lXLDXdbmz4vr09Rl4NNUisPjHoety8peDLqXwPrRJynX
ZLgo7dD8cVw31Pv/8TVVuHEgLHGsg+4/loNCkg+67nTYWoE5rBvJw9/6Hm895Rj9Ln0OjZGmfGOo
Pd/0oxxv3dHKj7i9VofMTPy7QsmbfGgvwut3UPQB/VZSAflcG5qeiR/CyfDBZcfxfZfag7E5CsJ2
u6oGM7yT+WfwkRVQN/Eespj332pPfVW44f0WFhwiFjISD3hrGXcRUvRQY/ujCSBde2UiTq7j2yfv
YlJPGpmxHnAb2zDe8XFFMzmkjsbV+3yQocHvgvF2LbrW8pGYGLi/BXElyuzAcneiOqO+ePCxYXgB
j2N9MfEquiY3RTGX/cQbrj/XollBzNaRg0oKoQvXUKwcbXr8xfde21XPxggSAeHm4RZZy/LZCgJr
L8E2Mc9tS/+9jo3mgj47PUPrElrneq4V4lQpcgOcd+i5IMJIcGP0fyumIvzuWt4ttMSTF+HxbDeh
iPKE0y6Gu6tbgZvFZd8ttVNxIb7LfnTXVdd7N1VrQuQZ5K0bnHWt8eAc8VgFm2xo4rmDg9PwDvnB
/IYzvl1cUP8LQWzJt00h8huKosHIlEI/fMfj4jMk4IBhhpeIDGJhdxSX13gq+7ZfrCmOltNc+eew
9J+WqSz1qzue7j3BIDyFE08bxy3YtozTtQ9dFy9809Bu8X4EmQztpEYaxTBuutoDAS9ESzaqznGP
Yv2AF/4gk7vPkeBXfeJ+aB3mQJRHbBrU5JwpzgVf7tWuTPfQe56vj9a7odx4fMNRqf0KwUN8ee1O
QiyhUa+5DYngLJHiTKafb0K/5K+mw4OzKisJtGUF/Y/GB8tI0otTO6BAGM/zEvWZkQBlEspWXXzs
uFPO1wK812vfC+XtEltX8j0WpH/WS8ut40yyAM2UdNNmA7gpdKm7DTT8aQQAWVxNVV1G9v84u7Im
OXFm+4uIAAESvBZV1N6r2+3xCzEz3wz7vvPr71HSbpVrPN+9cR+skDJTotxdDSJ18pzx9xj62VBp
RyOK7qMZQu12SF6Ko5BfDclBIVxL7WOMGtypB+kASOCC9DJwvCg7xddcMqdnSPri5Fx2GxOSaBSR
FROY1wETnoQLpqeN5rjJcxSIZOuOTnilhqfgitsapl75ljMAf9bOXbiv6jQ4RkPrAFEFaUjAJlNQ
CLJuOKMgsA5AB4GuU2s4IFWudVyVDtvpAp+VPKuR4m/GKM7ucbS64JDMYM2AsohUXPoI9WFmjkqP
G6NrdQIibXBrA4PoDlIkfO+IgB0N5r4S2hivIN1LLVD51AS9sevpWQ8k/rVH9e2VQkJ3nC9ygkkb
BxVM3lnDDrVojJPCgY9pjURvCpKtxCiDncKGU4/iWAkKFgDqymlTD8CTNg73cJ5fnitZfKEasjEq
wPiVG/V9H9GB6KHgVC4oTpYrqGCcdpxHbK/3d/b7RXN59ZtpsZ772TimT0UHDv0BmnIVOtoIiTkL
tAP4za+dCIKLf3/GSNcouPGeg1dL1L4zWM5mRVQOzd9JaoE1SSnek+MOUnmHvPycG+pB6dOIQJs3
q+BwH/A7vHIYD9ai1SckBqYzNZWZTucsMT+GcwlQWFpFuzs7DWkCxd4N1UoNNEHqDbkhAu9Ngwa9
LXkxnEF8XIKGv7KpEF7NXsh4eWrl31rSg3IsEYDM07CQf4TzEINhjsZrd6qNv1ndDT7Z9IkdnDYe
D9GAutIbOUoaAz9Tn0Fy8SFM+SsbG3EuJd5+FakmNqbb7yZud7htoH5BlSikEJnYdYMQ9w6KU8Eg
4tm1SWgic/HTfC1N8ACP5So1yo/WVdRcHBk1UCjMO6hFO2NmeICytReRGu1lrgLmm0HwF5lUA5qx
9qKG1LPlhLbSoh3KBYBpl4sohxrezV2A1gBhZ4hiObkAXVYFk42GyhHiTWoDerp+VxS1tk36RZwa
1JUejTEdfBbVAzYhzdkeRPZnk+NtBOyKznNfQME6cNzex4vg8M5EdW5llT9FAFg/Hj7+gIwCujqf
gGGCCq+o4X8FDA8EIL7DHROKmGDIbRo1O9CdOudgCN2zi3zYmYYCokhgI/z0BMj/HUewNakQmkEN
AM3FvnSh0450LfeYAQ2NLnGx754hzYmaHPsd/5WrabH4P607/dFBJuNLhOKUvWUW4xEayNlzZmXA
6coIS/urBwjxD6QeAo93SNTEYxucWDgM27KI8re5EtqBuYbl0TABLeO5TWwGOm89e2NpPF3nKvwP
OSH/mT21Dk6w5Ew37OLX3uSgbuzyNzKVYHPOTLAIaOBQT3nwxUa+8hrLUkarmrALGbN838kiSCd3
tWNkpGCol94xB5UQXwYPj0EoN0lkIjTNQ3/AMfV2xSiOQ/8xJughGGBaHD473z9YMl0H4C+qHsNh
4nSYcRqIVMCPijKtRamDJgLhk40aPlmPgI4EFxrFUV4/lo52U4Z2txCFQTQvuFloxO7PXoVBwEJT
AFxeLJuYpcUTRAJcvPTy4HEckua8DpFFCoCzrD9iGjYgnStjbDcHjX9FfJ/NMLzP2Th/G1H3D5xp
9qVsdPthSSegoKS9LfV2p83tAhkEDOcfYZGo7Ieon74jmz2cq17HNiuty4fYCvBenyfmKZvsI9mt
KI0hHJO67y30T889LyDXapRQZJX1s4ktmJ8PQ7cSR+lSRCMFffhKHNUk6bECSduLO6X1a2Hke6qj
HVAiCPKp1l2LbmmNKGadP41L+W66aeIlrhWdDBSfYZdb5ltFocKNdtwXTf81CCwkpIg+ZaV8pa5R
gc9mBr4+yiD9AoXB6YmaqShBwQ8iaSudnyIbDZkhDQ2Rgw7ZhJtQVFPuUcATI7P1I47hDPrRstZJ
ZLZtcN827vggqqW/tBAm0+K5O4H/rr+QCb8SfPsd/AkkjosbOI2RkVj2eld8pdFdnLKRg5ZKtSH2
is5GdlWuZ4UTjobJvXbVHLdP14/wjxh1Gbq8lmRfae31c9FHVMtE4kuRuHUUAOtcFTq0kounWK/T
KyRYu5cumaPrbFtPg56h/Ek2QTjWuzJu2h0NObfblzyqnmwr/JjEgHe7Rpytk5oEDNHcHdzNKDPx
1NgyHU+9CnleCD6LB3PEUSzZQ81MIE9GIZNZ1uu8COwlP3U/J6kVA6eVOtIBdn9y2ZspFKMCR1qX
LpGmHCij3Nzf2NYuhaNAFx9GzexxkI4T/wCH9ml3xOs8qrHM1PQMvHyuQ6j5mFCOgteUZ300VF4K
/n/OBSWRQK1beWCA6uwmOgtJJJURShtAjyqNK0UwUQlnbYv6D5Su7RQDsXJQdCQnk+1fHZWspGgX
kKLFOKprUIE2Aoi5ozLS/MpQ7ALiLt7uGi3VT3ZfDC8mUocoYo3jP0JHSzZAOyM90eL5bDfR58Qp
M8TvcRl268QSxeJPZut80bV9UrbQqi5RgjEmIhy3NB7maD93+Xxa9BDH2SjF7YEol13WRv+Jeaij
xlDaMlcbtpFcAkLHqIWMh2K3Bq7Gz8WNBSy5Qysaj66lrqriCqBZUbmP/0656LiUzPHs+ej+1UPR
7UyN6QZA+yfpUO3SBCeGDU91HCxBYuRsk4u6LAL3jt+BIDzuQM29Dmk+Co4WzVPr8VHHW59eVtWO
A467Ic9qVEEDMLTnm0XcOMYk5KT2JZJBBwq8uS6Fk1Gvk8Efp+X7FOF0kElMGPX6GAeAysYAQVkE
S49kUnY1HOR8NfxVCNn+D3H0KeQVIWD8jyvmVVjiwFhezYZ4gtfbUbJDHal+5flvDaopVtJnU/Lo
09AAWwqURlxoAEqvctAk1/qmLLzQNQb1oNaDQhtqOaMOTA6JdST6PmqIrU98Uvop210IDVHismWV
MNf5PWDlKxGgik0ru99m1uAeUPENhVBjeWlwYHDVdTwYM1Njv0FJLvLAFjlLoXPtpe3jF7IvuV3v
0rFpjnMeaiDj35PZqcfhIDrQPeXAuPwGErZzjDeGL2kohgu+icjL06pNP26QUQsfHeSInpfEBLIJ
V0NyFZU5XIyoxG7idxQ9rfHOFHT7FlprfimX1cFTh9Ov5Gu6BBnq5dtsu5T4c9bsCvSPaZP7cxVr
W2cWxWtgNUCIW+tgMory1eqicdtoteVTQIQt4iNK1A6ttZSvZEoZtCWKXnMONDSSdLwIk/9GI2oK
KffhoFznTEsui+kcSxuMo+Qtp7F+qkrsIDP3t8IBpfRCJCxRCzJ6qLFU/joWMQrRctaAYZUVOJXo
KuxakHp6Jo6VDvzL6SSiRyJbCSUJMUhWFU2LXJzr83IiP9nTFII7Ekjsk21leJEXYUD9eMpGF8Lt
cZshWWpXqGhIgyU4gy4oONOwMxapHU4tuVY/d9Od1ugLOCN+zLmbSENmdvNet8MvQzfjNFE20J+z
kawBjAV0Gu2Og7D4wxZaCTi0V78pQdu91r3TRD1yLZRjkR/6J/PG1Xp32+ajdXLwZFmbBdX9pxzv
IgW4y9AlD8W4JWgzV+ON/6YbQ5/G9NRSDsS6UAfA3yPdcrY8Aiy1yR+tZsqA6RTZdZEN9dQQwtUW
CO+AXaK4auDmuKFuBKYzRw/y0+rQgsNQQzRELacWoR6AftAb6NNHPckgbS6vFTuvLHSLy13k3TUp
Xi1LvQQMu1MBnXjm8G7ZtO4sgBoZrQPOfd9oZFuluI62buHkMZ/+Djj2OiIb+o9gcjvg36QZa3CT
zlfsAkHT0L0ASlJt6PA20+1rX2fO1yKyLV+P+v5IEVUIkRl6l/2MsIrZ8kXJbiPofRjbgWuSWOJ+
DV3D+ak97SlnnwnGt6LR2yMNoYO2NaylfavDxL5ySdlNdug/cdTgOyA8lu8bOoTW78IGaXctJP7/
LcySq9F0Wu3ni45T2K0XBTfgx0XVZ6PF5UUprNFwqGA60EVI22zaBEY5PyezEYHItcIfqV2Ld2G7
xy5Oc2TLkQScMhcy0Z8RPAN3U52HzpaAyg0rwETBkdxTCOSJIUsOOW3wQEopGmoCMJ3rhbk80ax5
gszKqCffVECOH9X/stDEMtSGd6D+s5mzHHNdl9x80EHjsulTLxpE+0qWYcoLT9PAEEkqaCqehM8o
xCjX+KEzzlGYLYd06Tspb2JuW/wPfh/K3+m7woEk8WII+j78S4CWa7MXWc1HAMcLdwkeGLceARzA
kcCLaYM4pwM965+ls5x422jvTrhou9QujZNelM3TkkMIlSIgPeDNfRq8QLn4KTOT5FKZYD+iT0z/
FS0p9wM2yE9kAgIXguZA+PhRAEmlEOf/O5GikjYQuXWOetCrb9SYjNSY9hiAAbk3NspGPa2TU6j7
q3mQBbGxm4SwJAgFoN0JBAr7253a5kCSW6vulpTlcnMtOeZ8/EYm4H3lQb0IzAdh2H/jTaE5kFDX
qtkVVkVKwSyDFAy2OKFPd23IV+Cer+7sN+Oygcx1Ej/QA2K9xbe5+OcDYmSQy7JH91QZpgfm8ehB
wbr4nEYoQhUmSBy0H7gwGQeOrBBVCdLWlFAyxJFbjae/1+NJqT+0AXQtEj7GvtFEFSi0RZ9eC3fy
w3FoT6st6VB530KRcUzBtbDagMfOfA2vwoCMmU//nT4bZ6D/YIdzTcfQdVO4gum6e8/rbkUdCKym
LnwcBgATC6ENm7QEJixnPN91Mu+fm6Gm+RxspnhwuMwT2lxtTcj9Id0/Me2ydslvWxZgkJE9eKvR
Zdi2T5pTlFSWvCeYAEECFFbgX6ED/WjHW5zlpp6acbfACkW4W8ttII9rOdE1RO0+ntRL/ttdzzKH
4reoReq7gHTAvbeti9cpLjKfaZF21hYrAHykaga/lmInZKy0CvCDNNyQV9lpSI1lTI9tnbMnNkOh
Ml2+j7Ub7a2Om3tbc53fhLVD9sfezFGL1zCrQi2zhI4RfiwqXkDqYryQxeTYCoIUGOk5GZA7UD1M
o9zcEDZtlMIjVt//Zc9hDNrMrALt7aQLT8MB8I6Mdd7Ej+D8jB9xfGjsI0BmcSOGbY3Omiy+6m3v
kW1yXSSjshR0QEDRPFCDmmrLW0DjvwM8pmIbpPs/PCi8RMpU9OeFHBStu+18TMvmdbXhVzc/0Azk
0AIPhWBie7+MA1qELE2BhIlqKIlqVXsAnXL4MLjVR9PgxS7oWxy8whKHeCXFCTS68r10IxN726qK
jlEKrDw2xm9JV48nsGE4W5yFz9+tSZz0Vi/fwGs2nuIRfICkhCTtg4sdcovj/z2J3DkWio2RQdVP
OAuFUqZeghVxBKEVeauwCZ5LNm50O9BeGAo29GJkx6AT81aEeuzxClUIfhKDMIRjA0SnY5FR4WDM
LBoThBkdinNl0UTnjLhQFQdQQA+19pAtfe5pWW4fI6lxPvXxCF6ItvNpOBvhcmACv9ZybO0vTJ/H
C2qBgciSQ9ApFs+Tpq+xWoz52dxvWpzrvlDAyJJvQ6UHV1qMLpVXHXS/dHEl9ThqZjdckm2PA19u
b1PU33otGAwegVToHh2GEydwrJzIpLMRWkkaWALPEOBbbXbEQPssmxJ6fGccNZzIVPS4w01dnB8C
V/dILi9PAbHS58x4rEJjRiXgUuzAIMshBgvpBi4sfWOMGWqnAKt7DwZzuXBJhC8KkJgvBVjkDSAf
S88xpxuvLb00V5+gNwnu/OkdP+7lQkzhaq4zshFPXYttNKPI0j2qbEE8NrhiZwcMpzidJLSiBune
8lqWcwnkMbJn5A0rK97H3AZtRhIte1HEoKXSEv1rkNsnIetadBTzeRGrxwc9mFBjFzeTR5Uwc2sc
+DQX732X50DBD4u/vpvE8oWFHkXUWJkGHFsL2Zed2cnbJ726mOb8ICBjfbBxkHYEzPCqCnNmznBm
TWU4OsSajgAirl5VnlONaQqBNcsNr7U8oV0ifHn6HkQMLcrCH01586BeVcc4Sg8HX9hZYa1ecvSo
QA4cIL1ULNkDowERDEfdMQ1VE5WFBcI2XEJmnY9RCR6/YBk6VnoaA3lZS1IRshlL3QdvET8OKGq5
DKQoIe2V0YwFCD7QzUU+7OxcWzYqxiVxCTUG7g2CuUzrvAIJsO0ESb5X046RamY6uC4wosayuz/a
1lkuQApjCxjYi1/EzX+iPn8T8YCnLG9jHS941FItLGyaifM4vU3B8dYXwcXR8A1IzGJ6M1DGhayC
Pr3hXOmjt0hbB9DqqUuZ46vCOFUnl4XTAjoMWVKn3IPZg5N60vC7lI6b2jo7ABvaR7iaiWJ3fBUs
tluMGEo5CSTGljgadkkB+ZtsaWuGejZplO56Sb+DC5MfyJRaJm7kqKbOLlFgbVUY9QJUCRgJLii/
L9S0efNajWVzSKSpp5sXOdS38DNk/a6p7x7Fjah3afoBLM6FYCdIdrBTLnt9r/EcqlXotqpL/i5K
TZw7dr/wLzFpF8lVbrrrWjfLqmXKvHgMY67591e6mU7R4PY+DVjoEPwsH0QaQpCB0i+9mN8A/ed7
ZaIeNaQ3RFNX7zzex0YzaEDsKIeIoQYqYg20dQ/tVODwJ/3egiDojY1j/4Sf2Rey4kDVhd5nHoJe
i5fv9WJlu9ipswN5dQEx8BEF6sjmAlruui8ManSbCNsFvN/itZhekNeXYTCXP00igcKAfIUmr4pj
9oI3DxSlQEW3SHdR0uAWlFNuNngsiKuk/nkIOTqZuQ0eWYKKSE8Gd4JnG6in2um1SoCS5kFcOkcI
uVg4WeLZ7kNBEDIX0SIZ2rxxhtQy8XYQqQfReJCGd2RF7Y4lJW5r5P7gAAGjIlaCi4zUKOoPZdPt
0dmMRtHuVrlvtfg6Rsnx7TqrkRbCPhclbjZOvmc7DYG4mLVTI4QGAAZ6ZGuS+F2rrA54Q9hxHvcR
MTErKEDs8c9p1lxrBYCHiLzpqrXVGkPXRPgrJzltPJdQOSU3nADR7RJjHo9F0elAOMv9qGpWI0v5
ix6mzd6M+nZjRnO1U5R8d/x7yqE4+X4VMraAVqXILcY9CAtbzf6iGUNxmdI5hwYvhnkSuU9VLPYV
VKAGLxv+AoK+etXtGUhpK/waN+Dvp8h2tmKcc2tQPpcTIbxT70BWvOCZ0fAvZpK2B9tKwm2WLPNj
yqNjPM3gRgBkb7zGegrQZBxX/lyA93SUDdBbyYyDCnSbFI8zclM0NbwdEpSNG28hZG7PQkcaFeR6
xlsgzN9Fy8AZYY97bbKT7yxpqy2A9tWDWyIRUDvdew3FbFkEy1G9gZ5qbmzm7HpjaoeeHVr2ffBN
3OcC4JO9XepX15h5gD8/dblfxailoYn350e5SFOiXhc/D2hhy/cMnPBXXjL24zV3uvw5Pq3aOlUI
CoAl+h70rNpNYHg5D2VnP1oGxJtNs0FFpJZWXteDYDWT3KooVWGHuc2hpCrpVmVDPWoWJ5nbjRrT
NGbYgDH+mPGraXe2KgmfUvBNPYb5WJxrCBB6jNfWO3iOwl0gCv2gQWTivZnzr+aYGkhraOUXKKzh
47fRYw/5gH0qCSydTIAZU/aoacGstJ1MNqwcmSsVJtFdKqZLNW9199qeTQIYvs+lbhg19YzHyImg
TiYa5ycnPveAjD5X49w8/7DQwG6r9rnDOayMIcsoA+ePWTQgs5sLFfPTOm7ivLmD1YRMvnXgyZ72
7iNJxo7DUp1nMT8Y0qTsEOBl26CorG2Pt2xUD4TutWRhB9mchYPp3jKPLnbLgJCDUJEOTWnoosIB
b5Cd+dbNerF66cCVvDyDuDR5E9R5VS5oa6SqdDJV2ZEbkeOtLwxAuBzrdgZJXSKy5asGAu8tCCHs
RzYZ1tpYLHpGpTFkCz7tLtQHr1YVeRSl7FNXuPt0TsFYJqcrR9JHtjfHrblrnYIfWKl96wKTRb4I
muTs5KWdv02cNR6oFPFZaFxlWeHNIijS9ABxgBrFrnp/mhxLZBsjBqnhmAXlbgo5YGN2EG5AvwXS
4kmLjkFjA3Bsg1IsSKfofewgtmuG5rB15JDhVrMrC4aSI5FE70kF+iKnjPIrDbUJt2rAvV5NaEe/
jpDCbSBhERtfIgM1/6CBG9i2TADrbHKUHw+DiDxX5v+byXCXQyfPA2RKHDuQJnF21MUH4+YaRf41
lFwJZf2pa4Ui3ziWFe9mOb9HLszZ0dLkjsBWA0RXlewCPmJjVxdzeI6gKsO9+65DAW4mwvParQHs
Ogqc/f86klnauzvHojRftHAqwPsQAbpUhEh+LvqgediKl+m2E8z0UKppniv9ZW4jMGItJn/kUPL6
PmJLjdxlvSDpodc+9Fi6C4NSyQm1w8s+wPvok55DUjAPl/FdS4c/dQC8/sI6PK8BcRXbLoZ0VQw5
QUMiBuRoBHhSjWaWovwNFCW6LIWJcWpzwGcEUbAcUrUMlEasDWrR4iPZLKCnnh2IbbaV8bgg/5Rh
R4jT8QjP8bI1tRM165hcN+PeAgJ9s/osxpk3pPi2UVSHDNpZxSsbTVeOEvLLRyeNQFfgFwFYLzPd
8FupFcicpN+ZEdSVF80evv7CPgZD8CjCtN6nBEqNJCfovAT2Gexw9pmGNx4aL4Xf5aCgobA4KF5n
K0Sl0mc82X8588f0HomRmwvYxvjSQsSYC6hAR/oGzN/8Epol/QFDVsrV7Qq8FDDa9rKHao57ZFNi
QZks5eHJ0AqfqqCrauj3c20+cMP5KIwG0V1+pqZcKl5uKI7cZKQh9cgWTZBQxe8Cc6gumnrUOIMd
eWKqi2jbTAWYgzduMyfbZEriMzX12H707mzBxKMzpONwdF6XFdq7cPJnTAf63A5Ari7XuQlcZ7pN
8q1ERawUH5gdFxoOOXb0KI+7kw430inzI2caV4e69Y9V8necTNBzBL7oEXWa7mOeL8ZVrpFr/alL
GuyAJNsCsu3NtW2DZkJGF2MQ4W2tFg+0GxvFkNccndJbYijqdiXE6DfdWGMi+QfNyQ7CzN4pcGbQ
GMZBwO8KXjvxsKo2S19MIAd5Co2+xLmaxPOqEMLnOsi9n6mnGrKtU/D34nddHh/BTXyHTyLDCjxq
qsA5Te494omwRCwQf4Bc50+UvDpnajLeffTubbFmg7oBFeMqrvg5+N/n0vL6cMIdHAV0cnQXa89u
tguDsl/vGvQXvt4Z1rsE/d3n8oZi0L2FAhp/1Ab3pG4HFECht/eWtX93SxEh9KiaDOekYIBF7puK
sNcutxhqEQvrSDY3zRNUOFDhNv1UnQFwnIKzP6ENOu+dHOqTStwr0fXaM5D02PMFmmDkiDJ+MKGH
90CmaOHutQiaE7IOQ+rRIhBL9SoTWmymFMVEATTU01Mn2I8SlwjGeXnqavArecF9BumYbnhztN56
yk3tJZSASMOCFsGcOqhLdOpkVyZmGPaPmg1hEEpEDtH4Z10j5UWJRxeSLDbYd7obG4VRIlLauxbJ
M2Wi3qedoshEjVxbxatJBUOCLG5OJh9sn86z7w616di6nMVyccX+7qSdfOqYu+Zd5OPdDgTyPx/L
qzhyuKhx3tAFQyOOj1YrvuKf8SVJS2uHrUTsczkMUboNitix8sjbRlb7YMzgCxa98WWAbOGXGdIs
MpIsE+dPEHN1H2hy3s+xN0OW8xg5nf7UGtCQqiM8gXp93FEBawJ48MVJQkgK4p219boWfIuB/krl
rG2f4BStrqHXKCthkRxLfDtvTgmv9N2KKV31+zh44Td5ZM8gNERxOz6ffVWI1MgaVwcBUN3aro6Z
bsrz/AAibVGt7bpsRFmO0wVbMka6AH8pdfvECkD6gMgawnBrb8GRobZTnpuFyAh2+Ok4Ns6qy6DE
GZRuxJ2t5G6zrRxQ0pOjkC9G1KNGpxcjNSZlB4AwbqeQV/QZ3zogdNiKpCmcoxX0gLqFDHz7Uhaz
kOD+Kma5fcUpbeVjM5BuatLKJD+3OVIrA26xq0sHwRmYBuTUsZxdw6dZpTanm3XMpV6xFeK4YU4B
6sV7TngWtNUDRRu2emrMXKRtNquPzBQwQfTvrH8H7I6fQto4qnlcTl6n0QRIuv0FEEbshwHkKH26
4Qx0l4mTZyO3rZNLwM8bh6UHlddUIvcT1xzOUReCDnjqm1dq3DR+y+whv9KonR1n3zaB6dGQybAB
2SjDXMQzmSCAHO3aGlWIWhfjIAoKz48QYPDJuRgcuUxgCzd9xKoj2eiiOtLEbJj9EBlHZHwja7rM
gcst3x446k0tZOW61LGQqoaniAqt2IZdApkHHbRe0nbjqPsexcJGNF+KKugh3BE1W7I1WYjTssTZ
CMDWv0Gj9slF3dRLNzXDc24Nr6h9Kb/hecL3nQa+pzRfCuwUTPxpBUP9oE2d/lZGI7YumF3W7gzp
XpBt0BBveHhRiJbovA6jZhPHTvU1zWb7Gkyo3aLVQmvGWX8YFgcayo8ApDy0csW8+KHFUWUom6Ia
UXw0oNQemm98dWhIHuDcJEMhdMtxlidDEm6ZbLNGm0m1LctgwqtoAqNaZ2mNja1P0VXkGVuXJmce
FoMPGSqx6TuRiC2K1o2HXstf52U0cH+QI1rKbtviuJTxO12IHLQUg+7mzPrH0up3dRAnV7PC79qQ
TYCS09OUac9kGiEtDg1LBxDHDs+SrYqjntWXfwyNMR9jMK0+9sghP4LGe3hgwFBQgLJrnbvsx6gF
XkbGqoUSCHd6ThAZvgom7+eHi4LpYUIl8MEMWHMG/eJHgxy+RBh9jqmnYowJyT8HwgLKpGLJhsOp
2/Xu4sh7Z6MFwtrBrw4lgNBO/rHAr+Is2x6OZQN1RVn8obW2vUsHCcmk1K8ar4liECDaUBxPIdIr
+atpDnSy/mGjuA67ra2WDO0zBdNaau78eT1l++/rJcBEejjBRJkXtKE5u5HRIkEtbpvVOZwCn4Sz
iLBtFRYjR2Jp/homFceUAtcAzV81S02l3s9OWtJwwsPUuNVJnSaWxQjhsEJHmvznE0bsmOoefGTQ
Y6sMdlDe9cSRxigIv53MqgFlR+SR84A/Ygcc6zX9lmw8FH9D0batQVaYuNcxFjUEyoYAPD6SYCCR
ZALUiysd2oO4SYH0+9ZOTmpyJwFTwN005aalaDLZAhQwbYKgA7To8xoqmMuLq6FJJAQ0/tfLo0xJ
G3EUpqJuZqml7j7Gry7eOZOLymkGoPnPH0MFi2UyoE348ye/G6pParjp05KW/V6tR7Hqp0EOspX0
U/xXdyp/DRZ+DTRjAQMGXt3ajTWAfrGT749mPIG+lMYa6yxQd0orNTdjg6LWWK3pdS+fzdZjFg79
UKAefExYx1yuHSQaqFLXaWQQE68in7rq4tjW1ZOUHJVT1tXXKbNV4710nsQuyPHlFcXyUCfL8MU0
nNkD0aDAdxLDOUVhGmM11A3lMM1Ye4FGSwyyKm34YsVu8opEPPmokYs1QwcxK1A3gWN3nCVtQ1+a
z9QsPHjXATo+K1MiVbftMHnUZs18HnldPyXsb+UX2Adh35o9KVPTac1x6VwwQ4b6x8oM3LM+XrtQ
sCbXoWBwgQ3bfHRcHF7iE5DDchy+AfXAcCAbxA9qSDtSptGFIumMEpkaOb8YWnMOHtXruC9i62wG
FhJgYFirN2pMxpgN5tmNJg2ebFuVVXu+MVEINYZcgXprMAUtc2jtP/JFhuuam7D8ajeLiw1eiX0H
8BTQYJnsCeDKcjQ2HNpsO7y+Oxcr5WV1csCL4YNSI0RVFTPy18xYZ+sL+C81CF1sQVcHUvkZIj+X
CE/Vi9MxZ5f3ktNA0z5syluMeTJsKDAMF3A5CBOQGMCmhg0FJcA2VFvLHcoLkOu0wuptUBa/Ma2J
73raww4O/i96OEBYXO5eaXcLAoRaYmS5uUGhYr4zOpTLrXtm8gddHB2x03iosjJ4MjqcOjZVvo6s
fgme5ha34FpnKMiTEdSYBpA1hot9trKlLkOdaG0ZHk1zhOM+CW1KT2xM/iITxVoDvvY207x1JK9A
vbBLd3zI2Y9vMXSXnI16zuUT+Hj7DhtZeuzRc05MRugZGu4F6rlpf9riGYILQ+raOFa1bQhXthyC
XHHRbGhsxga6k61d3EJuMGhInkFWS2gNMzcuMIQ+z+biaYByK8qoOuHjCBdoRasaQOPvFwkzfrPN
sfZ4bLQvfDRaf5nL9uLavXmqqkrf602rH4HAnT0+6XvC5azgnDq3vSU3dVTDAqsDxcn20SiXm4gY
GXBvkhE04TMibHnqdQuYrBWUg7MxBK5LIj8IDuLqQQzUTzr6FPOB/JBAkZvIxAxADGvND2odvMVM
kNamymsQRzDPgDTV2RmXj8aeUtCXqvEsWH8GUJvCzM/Ym1kmTtu1mDRKJ6B1d31nQdUgjo1LZ0Nc
U8+nE5mogZAB8AKy0SwBRBbFVRAUPFbGcLqxrV1weeb7sQLg9xkvbb/TG3BeQuwsD+ejwPfYvpLt
Z0eYhXH3Mkm2MBkMVg9oXPb4nbU6itPsMdpBRAACraLpjjRzfRk3gN4cXCiG3NR7ApyDt8i4AwJU
QA9krRbtXeh9Frk7od540VAkKvTh4qLG8Twa0U+2sBwv5A26YMBNAg31FkhUorrIGrc0hNwjfrkq
sI7e5rIpL9Ukqn7rYne0SWLo8GqSbCfDyyQkjkYIkRmhfg0KW26WKt0HqxqHFLURPzBhCjzrnOzP
qtnjb6P5A2XQHTQwZ3tfsi7GQqDbrrDdnCGHVIN526j2CbBUQAKClZu8YQki682MkuADdKZeYhri
J/jhphjUZRtg6AqtLTlcCGAcPoAMeGUB3FjSYAlALI7UHZ0JKS4kpqZNxMCFvY7JlQK0mePFvYMA
XNv74VAkUNBGE+ArD+ppqy03NO77OuA4G8n1Y6/zDbmDIMPRVyMf6GtXzZwfAxv0IAQwLGoxXrJg
9wE0lJhD3toFABXSMae48Yq8vQUj/nDQ9JXSYwqyFvyFtbmPgFDhThacDRCo+CzMk00UuUBZk7GR
OIX7cbAAqECeNEQyiObQUDnU5DvbutZoWvM2sllTLa8ouZIqMk356kbMt0Wan+J4di+20dUNigjQ
NVaKXSk1UDG2u/FApIUNm97gy07XOwYtRTOu1/mhie1W36J6UC5BTY5E9EaIvtxRMn/N3q+Je0r2
r91/+DQjCPb46Zz+ESR3a0Y2zThtk92lMU8ST3xQKA5X/qzUEK+iFgjW/4e062puW9e6v4gz7OVV
1Sq2lTiJk/PCSTmHBHsngV//LWw4gqKb3DLfCwbYjZQskyh7r4UtW1Jgko9vmhKPvaZFlyxprDJE
pHfNfBesc8Je3ym0cRkAGcF7S3AjrgeAQX5zcywuDNtC0tttAhzpc5N9X3KgDd/qSVOB1hd7STh2
pCd0EODIyOHWZ/VAVk/tuwQ9ep63Xv+KFfS8109p/Zy/k0W5tZ6DCYdhBU6Qe3sGNkNrNZu5S7pq
RUJq/texKVHltPt/imFJrDkyolvI5+YB+39YmsTGeNIsKHecKqT9L2Rj2fN1k2eWImUhghXtRr3/
SYb391s8xc0imV7KosS+7+AdaPtTb5byGHCVTegNW60AstXPDdXfbp7S3uq9xl1a0E51I9+F1VQc
orwJT4FsWt8IbprfyRhDbiCq8IAb9Cfjfx9vCtlu6oIeQNA/L7aAmGQp7fbbXOXvW0mEVMuGeoEN
nE/qNZENcnHXDtZahpJysB/dGZoFsj+nODmQnBqKZxGnEo1Bc9IewGJ41KGoVwCLfteNxYgCc0C1
9/aGySPZyuswX7tBBgrx/pm7PNsWpCEj1SVwoLzEZvqtvQzCrk460E1g5YMUeVRfpsjl8pko8FoE
DnsPOJNfWMGYJAhriki8cYfRmEjBpvq1WkrAR0h2MeV30/2tH+nJ2RMV99aaXAwYUeMRDEsoYOcb
FiGLn0DHCW5cQYd3kUQmJwE1MyGOI2VxAs0E9UlMboBsM7bz4n8nEYGOk1xZazsVGeWDKdtp6b/E
9IvsKaxx5KzviWJql0W+dC+GPAHGEg1nv9RNWqd669KYGuQXgJCENDHQa080ThbT2FYL+35nV9U2
EGe0sATW6P4NlcRy3EsAhJDncWDhUw/2Uzlo3QjAetQLy3g3T1g6kMKKfDNYZQUO/4ICxEskLGNw
AVmD8Hr8n/huA9T3Grg+STNt6OayJkjSnfpIUYcs/BXdrr4h/ZGod/OJ1Uck87xcbKSPIigZlUhb
fJt6ByU2kI0pP03gWAAVPOtRtezmeCeiCltpzKVfhjNJydI10uLEGVBX1yQEYQ0SycEuJzoUPIMe
eT6VbszBmowpXJR2+O+hSZqfxOO+LkD8roR6ikdTv7ZcfMDfZdH23pHGbfh16GtxNuqiXQuUOG4Y
6rxOizzbzUNvwo76dUw9apyxA/dOBCBkqdQNuQnpeyfTw8pfqi0IQlEuebUDFzdOuIIBqb2+OU3b
IjP9Emm+LZJOgyJ8BWBENV1oAohCogF5CI0k6cG6nMrys9Z1QQgHbm3M2YDrScKQxfkpz2wAyIwe
9tlZDnhdHFwow4wMSYhtQyCxcOfNcASt9jbmICgMARD7AAbly035yiyrwzRI3K8mWk4eJsHDoQa4
32f5RrRD+UVU07GuHf8HcjM/2ZU1f5qs3NtOrm+fAGJuPqYTN0GEB4Br1JJWaq1V4wy5RsEUxx5Z
Vx70+mtxR/NsYWvFLKrunCa2vXFRNfepSIt/bCSQ/NO0wKYHshu+x796Y55ey7HqNvk4TM/DUlmY
+ANbtBNlCqKjepMsE1j3fkMOBkDq+bHF+fV6Si1JzIfFMKp7fhKIkUtr+7NS3yuuRF9NacxruggF
/O2V5EX0fagLXwPQkKLQfdBQkZKpW5CGlbyIVqsIksdMx9L3QbeqfcmEZNpEa+8+F12Iya9MK+6v
dv1OdGQdTxlfPzANtZaCxqirOAgfC8Xrp9IXU3+Glj7b9UI3fxsdS9/qzbelA+kPC2Ro0Bh1Euz0
isiRILcElWjIoJWiXCNoKDANwttQXaVT/Ql41G9IG+R3Bw4CpBac6PnIkANsyqOYQGmK7G8UHUoQ
g3ay22lHY48qg361+Rc1WSZR+GjJOMqFZKj/RAkjxfzVBtl08SkAoREoTCJVHqLqQWbUHBX8/WJj
4a0rRIQU93Fj70t/LFf3dSZFVwIALw+wc0T+DniiTZMDw8JpowWgAU2BKQ4wtNX93Hww6lJDRm2J
NBa6tyTLUBFFXVKPZf7eBH/NLrZQwOdJaGVbzuipdyczMm9AUqK0AbDsuB+8AUlnGGk7GiJR7C0U
Df8/MheUnJsOO09YZi5vOcmApjWOKf9GEpVybEiltugAotLfeCQFMmfyHpQCSdKVSMS/5jfjjD09
38RwMjBUzA2+V0eSP3Wsa/fRkr4Lp1jSqkj2KNUl9Y10nlDIi/dkbGwjQBWv2LR1kfb9nDaA6kiS
snRXQd18aVBvfiAZaamJY7ve+Cg23dwpMjEsDyX2pFbamHqGI2uU3q5gAd44C/22Sd8tJRNbwkM1
EtC5rYo6+m5iN2tHsqUPxtMo0VapdycD0DM8lF/YgAp54S6OJCKO/fduRqYRRyr4lsaB58R70U9j
uhUFqI7u9ffjqR+rnejt5GMs+ngbWGP74M5N+wUIwqAQ4QCJqM3mVKEwbF1NTvsFDCEz6pgc86kD
yfR7wKS+x8Fi+BSE7TLznTHXyJDGLmCwrwq3PGVetDGxUX6gUQXsIGTaSAUvUaA+e3ZQr5RKCmcp
JA3JcNgRY17km8vDmIx7NSSNUbXVybDzn97keBPdAFRsgPo4xBRuA17zNgDg0130wsAWD11NRSY9
o2sqU7o7UePxKPqk3KqLyJg34ZWrvmcyUnemPqK8qP6E8vvIML0+qBCpw3C+3mOCYkwD8ocViCiB
/RYSTzTKI4aU7rTekYYaUoDYDiudMkiBqyfBSLW6L322asCHtVM2pOmy+HPbOcFO7wFTj3Z8kWSO
x1Tc49l13THWW8E3e8c14/hJaRWZa+87hb7A78LG4CtbNWaybMwIvJKa/BHY/n+3jmNsSX7PIant
SH3nq4fUI7JK6smgQj4A7uSayVLbkgyH2kjy1GrtR7LIzF66uU7OYe65L2A4aJFa0DX7mcovS886
OWUFKOQuLzqZq7LFv2l0nGLrnYVs8UczbbeokDfqbT8CYSlKUqxYCE/BF61Sp5KEh5pSkuJoO2NC
NtUKucoTKMW6tcVTYXVfc+BPRgDpOqpnQRaKl5shiKRewFGBwyyDXQgpeHIBWLjSoMEKUxiExJDe
4wurMfiFDmEVVQ8a4ph6bln/NaHCDXV5qEcdUWHwc8kGmLR4w8Js3tyt5TzXvBS2MI5aDjQQ5xSn
mAdI95a13c6ekE2TlDgitGi32ZEbz3Y5L8cueyG5SYQKKF33M8CdIru6TMBpMceyZsrOjU0BNp41
VUqldbc8Uk+VVKWdBHyVaiq2uqmzUsVXv3pTARZ5kzYNinL9tmw1uqnZGQ74RVuxPAGgYLj4srGN
utlMDR+3louih1Vig3oPQFfIlMiGCzVkHDNgAfbW1B+0Ig8mF2nphSsPCeFLhgkLAfFgAnnGx4YI
7YrIZnFdoKFnQOkjmbHwHitg51vErPYYAkH6IW2RK42kJI4EtQH8pE0pVtj/AMSlP9QXBnoWCWwZ
ekYVA4QlM1cTYLFAKQCLIp4AeTku9p5lwGEl2ZJYydYxkUTuIHHrkQVD8BiCh2AbSGwFDlxUAd4P
D6hEHf58fZY15yYtMDQHv17PwAl5NLJ8xYECzlYoxH/rSdkMrrAL/tYZFomAOR6IczOZywILU4x1
Ey1+FwDEGUJSCxS5rOwkLDda9lvrkOFxCkjZ7sgLG9zj3Jj3NjB7P9IQs7d5b00+8BalFmWry82Q
tA4X3cfmuw6eywpmuokyiMu16KtQ3ViKrxJzYXmPZHN3ZyWVN5Pjbz/nPIBYFdQXi1py6Wk9rRjm
EG9UADxffrd+IFkVgx0K7OeX37Mv//RXK4cAOEBijg5jOQRPk+METy5h5IFaYT3IIclIG4VZ94h8
ixXJtQMNIyCNyV13Y0eKxOsnB3A1pfXgeezHnTHFnBMcSuQzEGLlpXmNrZ8IWN/7ibMWzyEQv7kl
UiSxXZU+4Wy3MFex7JoRqrOb+lPKivTJcyJ3RgIysiMbkR9IFqHu4c0B82J37bbc25AwiMRgbXTo
EtOzNWY31Zq+Y1ogqW9lThqgW0zR692Xr5ZTpA2hpa9br6u0sdWnNeCwDWVBZo0EDU4b+wyWoOAE
jhxQtZmATE6RgpfIhnqTNZi7ymb4Z5Vaa2jmJ21nAjFnXQxNhJwAKMhDa6O0PjqYch5JrgOPeS92
VlZOKI9yUFwMMsRBHtgSObY6IpFDhQlA46vdjeymq7x/xqIwmahRjUHOfft2kTqfcULF+dLb66EK
8oeuMYDPm4XlZZAN9QDP9SVOsuJII1R2VxcXGdcPdstAcn81I8W8tF8MjhfdyJbyQqImYoCYlrbC
aj7E3E8O6imuS2iXDrmXfR04W/0moAc6NfR8JxNrSF3JoDGrlwUpKvVCmRNUX4nqTf0mlFcgc30B
GtJV8FZ/Fk34nBsGJlh2CBD+eI7qlRqnoMN4zBvHFqvaACdUU/unzOxgibJUQJhIdWi3KWDqnGFD
Q1IoF2ec85NXDbvbYHQd5uC4mqed2N9E48GEuoXoH9b8RTOZm2lVQzMdmv64joNalpv5D9nSOAli
/LCm7zcmXoZNqBZ5oKhPKgYTO7lL46/yEHu/NT3xM/luSGUzL+DAyIZ6D1I94MZd5dQjmekkzyaO
y00kh4bnKBvsNZPAsolsxgk4M7nblYC+xtDBae2NoguwPCcZNROolp67YK4ftIKikK9WVAbyhZXf
XXyyBiTj5znOQSALWPhkM8ydi0w0NOCmd4HL6lSn3vwX5Qh4vlMvG7LF6hHZyTQmjYmzgBXQbvId
qbWhHgZ1ABc9ph41RtCNW+EmvQqoFdpYOScR/wEuHG87B7E4UoPvfsbWqhwD8HsqAYkDwuk5sNF1
mC3kH+enwZsKpq7Z9qupQzHnjVo5jSq09Keo2onC6eHN5Umj3O8vf2c/0o2RKzVBvAPaeXOMJYdl
oJgvkYhzjCRf5s3Ys4tlD/q+k5KFd+bkTj7UIzX1tMLNQZKG02jExaQGGBPUVVLthDx3VCq69ged
1JbVUbKuamQDc0qM+3Mam9JTYtwsvO5YtTN+18iLIxedMPfbBLqZgtdeMAJctDgBeOKVN3hhIkdl
OpuS/ZmYnqkhumfqkSIGrMyxa/n6Tv47Wwo3pXa4AQWOsfpjzDvf6+2AFKI6o4p0MEYg9OUhO2Nn
e1521HWXIjv3pXMGa9Lw4LNqZrLWla3NXvCNQDIkWFOlD7fmHsd50jzAWUK2ma2kAGBXlAGYyhHG
Ox3Oi/B7Bo/IipVWax3c2bFWSHONge0yY38NSXzOJmhQOKDGd4+g1PpQ2E5wvnlu0VOJ3FCm5qz1
g4t6INgLHlUv/Xjjqs3ItTdLB2kKsFWXpYehuvbbFfWNKAucPGKjAi8OAw/TdZty47EKqttmnjP3
6IvuQcu9MY3FisadN7/DKqE5/M61Gwxr0zHhI73nl5hkDEQTRwcurhacIY9h5QTmOwMlOgftqi47
yKCsHW+DnjvUP2Aj0gamTeHb9hEVd/ZxsVAoiNpBdJWqTEZg5HhOH2w5lhoPQVtu7dDrHcCnwYjU
1LvxCZfRjE5apexRQbtK2j6NWjBQWw7qLBIQkCdYMJ1ab9oCPqZG9iKadgirJxpelWSq5dQjJRC9
tndyikFKvEiU8s7dAJvZagnHDlmmwSp3InZJhzB5X4GR/ux7/NlkdfpeiUQ97LnRg3dAWlBjsEVg
AQFERRwKvtkx37rw1HLAJg2zPs+bS2TNK+2UWzw+zFmOBb3T5fkaOG3N1u55CWCYn0HsEW9rlPl4
B/IjhZUGq8Cus8s0TSaeJXk1T6DtlkmPSKE8T5I8wMBe1kNlVu9oxPuicXakdYhVoHX7fj2nWY99
658unjFN4aMTLjsHhYoHZah8hpBVG9557a6PE7BUlF5wsVDDf6kHlNOAQqvfkkwp2rl8MDzMg7Ws
du0MoArZQYuWaAiAr+GhkHMRTyQnkQ2IVlDPOd0hkZcJgHhlzcDZk78Mc14KPBSGZZ+UIE9Z6VIH
W2pwWLbsyfBG7XHzFx/TEAnKfa7SQQa+q6ogrY5Gl1EhSWOVWGLelF/ICGSjo/60rnGXdNeeZS5g
dfu1bkM63kZshlVoJD0yla6AZ9iiAak3nskEXaYVQL52HisbuxC/IqTREEXVLyg8ig80qsWMvXJA
2CEPEQj+WxLmRiUeepXDbhejBxjYBPNet36KBj88uhIqDxn0M8imRatklQeikBXy2ZSd22bRkbyo
+Y2cRNe4ZE8iHZdkakhXBFwiUJRO2B2rT+BdNJ+piZBN/jzuqG/Fw5vUAQfWKYyWJ21ISntKxz3w
trGNcY0gpJc/jwJvE8ve3Cl6VKrhOZTxvY5OHgY2/RoAj55wwt0+dkO44U6dvgijQb5bPc5HGvYm
YH/Laf6Rumb6QiKgUSINzrBvLYpS/CAlCH+Sl95GwgzFIK+0q73T1YLMujq9DKgWbQACMgED7uAV
eBZR08b2W0/L2NSlwOxAig7J+qvJnXHdxtWuYTUQaK/xdFAxuJKomwHROkBuJ/nqUNpO++Ko/Ob2
xLK8vuX6FywZDwCax7uCXhiyyWQDRghAi5EQPNh418QNkhzBK69GpPCQxoa3/tVRx6nlO4oUJLsJ
1uu4OEdsnfWdKTndGKkLlcEz60ApB2pe52iijOKYNj97WmYBYmTTWSN4eaSJVnT+GJVKSJo79f8k
01HJLZ+S+L8KbYFJYDZSJBE3AOFgyIdOWfzJLf3hUE+muS29/mlo2uYM3pQzYeME4bxcriOAOaoR
weikCZ7TRYk8OZvNdX1QdbDADTr5k80OEUjmSHRTPtv0ztccFJFtfmJYGSPJDM+5xAT4VGPUBxrp
NzK9jC138pCK3iJl7eebXb/or0oS3bn/MawZiwP+T43hECdRv3cFR1WQbKwJ9UFCNjTMkuXvJS2s
LY1MbDEoOQ3JjBxo+F/IErdogagiw79dyMGYHHUcfXXbw/REABkIBE8LcndAGRIVRQxcH9dKN1zK
BtMBPxLOKYITNdwf633Ulx+1CPmMdrpREairVXmFgiSRjHyjZTfmc8etYUfXQdr6pnVC7E2bgHjP
GRJzFGwJYZBo7JIbnJI7qBNto12oN0XxQ+UE9QNZkOjOlWQEe9LeQaVol9/aXEOT9u4OutFHxa7j
fiX4lsCZMLGkLjUVsKcCzs40qJuwmVA96/tn1R2drtssFarDtAf17sMw0FTWWOdos3sLawFPwe9C
0eVaT7zUknSvj5r8kY8TDl1F8qVBsQ7bO67IAX+Ixk55urEnM9nU2NB5jAprAbJvWPMZNANwLIPl
S2cjFY+stR8ptewzqzD3IuFNHBrHYuRg8MJMYl0HbnucO2b4rwXodOs8EmeW4tnBvWH8KBwcTuKg
OP4bqH9YiRR/FyzsV14aFR8aEda7HgDOyLA3h32yMAHsRKNACQ/Aobbg6SmAdF3agD0awDUODNyv
fu0CCgzp8mB0SLpgq8bSOvYy5Om6dbYp8z5+Qp58/EQ9ZmQotkIC245kfd14YN9sMA+rakAKakOl
GQF0VXbjUycDKBFFMHAes1NjCstnzBgpghLqOIxvwawH/mZ5H3QhxgGWvmm6aO+bPTuDKq0HhTmK
1SwgjpwX9nq/DKUVZI7SQpw6LS4QcGcsafUSdLR5hTVjyldBl6CMQs4saC4w1v0+xyTmmUTYzBL7
3Ay8tZ5epEC3Kaoe9LdyKkEWOgZ5yRiZtKBRF1ZAA5ZXsRzJLyhwgnaXAJeNzDraQDEhOaXOUWIc
Ndr2VzNtgRVzDjAkFHCM0QRsLbA675C6MaLamXkClb1LuDMNpwVYlbfMDwVwQ/ZV4z34XFhHavpF
RIsam06D7MKhDy0AsDIGJIWrlbYn9Y2l6pKeVNqSepEzN+FJC50W7xVgJCXBPrH9B3JxhOuv/Bao
vvrsJ+QVH856rA+2AGiE9E/SqFOjnjf5trCQ3qGOiaYSPNdTF28AIogdjaCMn3TT4CjhMeOfScKr
CvW/fEEevD20xp6EvQ8ao9WYgbIS6HHxKk7KpzGujr4EdaQGB7n+zfBONhR4xf57E/Lg2QBkRx31
LgwN3es1p7joDkYTKIc/hi8SFBZ1Sw2WIbnjBz4Z99jJG6KhjZlZtdIa6pGaDGlIDZPOekhaJLXA
WRve+ZkTdrInz/xLW9yF6riJHUJ9N17/1XOwBUcZurqqyrfsVcGRzaGqr1TRVb+0/t4O2h+Ur6tk
St93SHLuxAjGJKrlGgCbAIognCc3BIwyGWOHrb46BcxQjS2GGYWfGxK6GX7pO5xPgUVcUqdmRhFY
u0AWlSor8gJOXbC6sVfxxpbvchvT6bkB7gMQqUuUieH0qajb6SmVZ1M0tGwT1NmYI25JRlpt55jD
e9bbAiyhP12px0uAmoxWokJqJcXQFxw7P0EmYl3uwQTqn6e8qKJdlwUhGFn5XuTZ2G5QieOfVddv
crFqOXO21uI7zdMsAdZMkF/HKV+Qn4Fn1coaQEtNPhSyYwNK0Pn0/uZPN2bCCrf6j3zzm7pReRH7
4guB7KUW77U1/dFVkLsfxY2P+oHVHiCorYRHm06ipbhFBdgVn3d/e6Ef7NSQNL6fL2fqxRJmhYZF
UuJlVhcgIrnKyKQrsfxSERMGKJmW/UUWFvB0R9SR40raox1QZzXE5mKUeJ2Z1cGUCDopnjpDZgxH
9Tuh3wHgsFEamUHTIwntePMz4dKFxjluZ5uCaDsGbyMKGc0hWSMXhu05j/s1zoAxNnCccADmEdjH
aWyzzpIn+O9nK+qT9WTN41MVe5vEcbJ3Ttdn7+Ykzd51GT5SY11m1o0J0CDNPcDQzUfSkakZzp/j
xYyPymKcTI53tskfKAY1SGrHgW/ULzt1rQ5riG2HZAl1MQN/iac4jVZ2Y4MhCrUO2DkNOqTLJeAi
lLJg6KGQQ+qRrGmx8cEdfrozI6UpvYbCXfZzbn77YwxS5LOIV8w0n7ysHPE9GMjccxZWb4x8AZfg
3ZgX+Y+QjeK8+O146UXzaEssUyFHS9dhagd2yD62lM7vUvOc4xsFdaU17vMC/85jhB/sPghFFz0X
vYVUtgRkAQYXspzXPSNhPHzAPBfY77FE/aYGaT7mWcRZsYtn8ASDEqJbOW3jPESUJQJo6GLvAM5m
bdAYsN3Dc+m8BmwBZrXvY+9zSt0PZR12W02Hu7QLapCW6ZlEns38c4GNTRoRr25lL+7OGQesJSSv
LjW+5wV4IvjIILAtTDp40exG5NVdBpkyxWZzwBwbQ5IhMSq5lFPwUqYzXvhSTqLRBedj4lsfyFSJ
pLJGvsLaMSa8FvsoD1ci9OLnfE0G07KkF8NgxWPGuu3g2PUxGJtHs8Hv1omK2ybOkm43ARR2daew
pJ0VAaCXActrq7WkoCHob14dx44fKHC4BMNN9MF97DzTfLwXy5sB9cuj44PCsUDxOc9ZAE7mIXgH
lKTdhNrfJxqZpRDPMXhtgUozZGsWJziFHY0fZO93XvButKZkj4WePBeBOymGAaSwTT6Puwpb/xn+
tcGcxAszO5IL+BKwbvADbxtnE96frtN6R2qWMAX2qxAe8GfRI1nXhP8gy2vZ2toMdUrAbpd22o16
d753QzLRYbTvH0OFZhFiDV/mAMeNWkAtUomNbuZ5WoM0YTywvEb9NCmiynOjByrL8bGzWa9I6lK3
7pGMbY/Vp2RGvnLVMxQzyeJtVa1NXWo6bDFmMc63qIqbRFgi1o9Y4LebEVUoqxbFRxHfOwkKl/H2
Yu2XYFyABGUCh7gXZvMlKpu/gQhjXQSelJe5jP8hsWV6/iYZZ//g1U7xZdpGoVkekM2C3AmQymzq
rpI0La7zCmD6R28S+fuo5dZ7Z6hPQ9w6r3neMVCsAmbWC+r2YwRSROEX1pkXoXlGRaWpeiQLcns+
mdF3rbPjrt1GkWWBoqmvLnbzirRo8O3IXMVYoLEdr98uAo8zklGD9c3fjpi9fQMwrkPKJ7BcuAlW
nWhQQAJ6GD1eqlmZgJcIivxq+BsTLaJeZrH0sUunt8gUaUaZuWgAYgKAhUE2o8RS8Ah1gcaq68/d
P10n6SWpkneU9BxkqX1IVuGsUnI+X5RvAuBppJTUW8fugPsqXMxW+gjlDTb+Y4Dxzv3mKY+AVwAE
ZjKxpJ2P85ctVor21pA5iwDLKK2Xqh3MaVvWR5qwAxZmwaaqKPflsNzO9VMQDe7FbC4rNdG/md5T
l8ynplqZ0fLOAEIFuCmB/WsEEfiJ7XlPIMAkYqga3zWZ6Dc0JEVf5N9HbHxtec/T7eTU/W7MK+sV
GHdHm3fl92KecLwmAuddmWbx4T9bAGSmXrumJfZu7lonakSf2qr372WjYC849G9vXK3Y+O4aoQk4
XPZWNfVrgRWW8Z/saVo+8Sl2t+CSdk5JaP2tSmSj2GPHuZVVyDaACrGW8s+6QdkX/oacYytnQVXB
WfSgOofozgLI2bcyZ2bI10n6aj+m5gK8EWO5cMCh7PvE81eDHJICdBvVBegUNEiMto6RgYFT1SqN
sgegjX/AqeCLfUUTn7zaR6qHgRr3q4x66ezi4M82PMC4/4Qep95YDesaVE6P4M4CMHTQRsCRLNhl
oqGI05XTIXGdibQ+L4AgPlfeUONEIN3kUkRypCFVxeami2VWsDJBSrmJhggqMs2a3ABok291YGuY
kAiYAuhwlJDeqicf/TdDqWiLON0EvRsq47oTADUka6+tM2QJ/Bqik0OShaYNyNpRhpx8NwIRneze
SFsKpR3MEqgabyBFfgzsTtrbU/uOf4RP1vuEd1uLek/QqDGBzo24Xf/OeO7sdTgW7ec+w8lE1Fuv
UeH686ZmLN2VSTwDWajhpzsaii4XqF6tQFmMmiEvWqkxWYoWleA7nP0IcOua/Gj7xY+o5PELEvCH
B5O71r4P0/LjFNefsiQrv6Ou/gdb4j8boMQAaMOFt6/iaT95I2pwXCtLz/1ko8hG9pIkzJFadB2T
0OzA55oHzri9UyxsSAEPi4bsFopI4ynH+gKZw/up78eHKQ2P4Wxib64FU7I60ldjOthXp/d0mm+0
5uCsqYvDAuAtUFdlB6iuPAEaTJlToNymAfkds2XGmKJcHVR3tAbrYSxjTH+ScXoBHiJwOUBKD1J5
YE/2YgLJee5uSekvrfMcOd6elEkK+yp3wV2L3/yRZFVkBYe6Dx1snUDrY8plN+n2Zk0dZ1iJCx8Z
J2c8cC0Q34Tpx3TaEbcADcZ6R7wDPzWmxHD/OSCNL4C1UDFwLgbVgIIlZPehbQLLAUw4TmGSCGAq
VOZEBU4Fto6zwzT1+bYWTryyUAMEIjiQ+AKcOniZBM7BPJTNrDyJz01DLhHCR57inE1qqRmuPa0g
u2gsACr+710oPnPTQ1fVEzI8E/45C3NsyHb1E8PR61MfInEBMCWVe5IKgITiyLwF3aVSz1hUngoo
cjA77JsoyVcBkGZPTvE3lbnqqleFHKTRhn6a3YALkZLcCH+IhtgcmGQ0J1g3mDo93idrjII/Gvzw
u+MhQ+ra4ObQSTsnOB97DLIjnTmBHPC7GDIApkqcDA1pUWXD1jOd8qBFGuUiKmxZ0lXzCbw3v7iR
rIs8c21GjgtguHZeUomo0L0TEibSGZuv84gM3wD73OnaT/rbYSbGrxYXPlin8HtYX43bChCVIBzp
tH9j5+xdXKDKi9mHKQK4Mh/G+i/b+Tsdg/QbF2CbtlkbnEYkvFxGE7nDtdOn3+Y4+ZICc+HFxV79
IXrXdtOIzCzwjpVDll1sbBgXeNK8kMgQ1j9e3YNsRYoGlGXtZhwWIKEQQwNgytqeLNjo3tj3hhnv
vBhZYSF4lE5zy/ttsCSv8xR05z63zPci6KszK/PPtRfxcj06jbeOkZSyt5LUep8Cf+E9ziRIN7sM
sFGy0p48qQEk+qvjR8u6DtuHQFY/gUjaOlFPD02eoGrQtbztnUIPtfHMivqYgsGJMsGxD8JxUvoh
swMQY/wcdVWz1Eg9kf8WSbMmLE1K6dB5HVnirnwH4No6o0SbJZ2zmvrClGQDHCQPQPAWInqeZGMD
SAHQx8bRl7AJJF+w/3uKbeNEIi1vEzMGB9s4b0gWcd/cCxCFLu9yM7KPqBcLtswqzGMIPLbLYsfu
ahB++T32031n1v1jOOKRrWgWwHM8bGIfLLBElkBcCr+jViCtNuGVJdZDjuwxjQqUEAwQjQcXf2ls
rkvYJdsINmNvg1/3SleqUYG0TCEH6XGY+W9+GiCIesDIlXmEk3nwOi+7JNGwE5k5vWBrfHoRgGOS
yMzxYZEyP0TGuZf7YqW0UsaWYe+CSPaZRKWNRHfMh5YtDYuh8/AY7pqHIcUGdR+b76mZom7YgTNu
3gxpbZbrymqfGlQ4Pk51a70fXQcI027HbjzayC7XFhCtHigAFlLpOxmTe8Ja96H5JQlnexOkjnFi
8ZxfvKX0VzPKJL4ZcYrjOrf/ZJQZJgyiYQ+ApLc+ZvVwIQPQAIpVarbupXKj8dQXItlWZph+61Fo
KyNQaL6waLP0o8D39M0oGLuoZ0sSff3jiEVf22JgFz6meEbBz3KGbyHQGnZ9AzZNQLjW2ImSkyIa
U+PzeAnPAFV5EqXn7EnWjgOlcHbbPnar12L+QBzfiZOKY+o7DOAqEf8cBEGxHqugPy9glH91wxsr
5oWwGhn/bKeoDtNWQ/ORxMi65cfGTTNlJar8zaqMwF4UmOVuscQECmSGcvV2SV9i27GfmpEfzSAp
0k0rke2x9KRFqFq2TmbJ9+ZYfNVL1PuFLpmIpL4xobUryLQxvzOScyoJL3A+gz2M4pkGjWS/sBoQ
teKIFfh00kArzKZHlRn2OvZ5UFjBKs7aVYayR14jdcaatjo3+C79V6COFyXuy5e7FGJyyFGliUtl
KF6jcVCWEQAplwTo0kA0Xt3FujE3RLrGJpt/JD8dGwcx1QbFcJiOFs288pKRXQAmFuL4emzX3Hez
r6A7eu1F2bzEJVi2Ksu3kM4Aec7rfTaF3qcQqRYPNjB5dgWYsb+KcR2KyfwLyHvebjCD5gE0RM4r
dkk2pAcjINsa2CQ+TlWXf5jD4T3Fc5MS4LFTWT5WnetfjNnAfEdeyDZ71DgnHrugePZYlRNAngQO
rr2m4Z/Lofe3QBxlD5Gbi89Ba55sETcv7eAuz6iLxvl26ryZ8W5mDzT81cwsvHduV24wB9hhU9L7
MC5p84QNg1Fx2LMY56fJXCUH+om6MAOtqIUk3KneuMwxXvyq+5RWwvvaBCBXjtzCeZ77uXzkER6l
pPDS4mHohuw1bEW0L4FpvucAmn1NFndLBlnDctRANuIMYJX+4tY4QOY8974iy/crQ4H1i+1k/bH3
cZxOch+liEjO+ZqUhr9tvCY4DG5rvHjL8CnGQXta4W2+gInu/eCKZd2ESEtnV4J7nuen/+Psy5bc
1pVsf+XEeW5GE5zR0X0fRA0llaSaXWW/MDwdkuAAztPX34Vkuait7eO+cV9gIpGA5JJEApkr19J7
aCCQqcmj9lzghiSEAR2NvEIyvMPn6yeQP06QuMcCGQSMLxZAlOz/ZQFaPmia+hxb6bZWHNRxg311
5o23QKXLU6tMZKcuNaJEOWjjDtJfbHS1+I1TWh0HHdq91doLgv6wbDIhte7KNe03qflwcUlb1SG1
1WV3+uGDON5wkFb0rzBxELb92IjTljwmTR/ak9MenIaXLl3NPssOPkyD2O/cIVovjjTPcgLIbs35
H0MDpYGbo1449OpyE6mKGktV1Ah1ZasBV4PiFA2QjUaXgV4V2JBtGQCI431GGLsK6ikSnMpqSwL4
RwVChpm4voDc4SHRKu++qhNUt6qYkjEgwtNr7C2REd/8ziNyql2BQtg3U3NQwRxr1ToILGMHDZh9
XycTRIa7QFsnXuRuIvBoZtgTF+vM9aL7qkzYYyfzeD/WJXAj5A0oZAksTysPYWvpj6EmhrNaKxxz
5LGKvN56Kli7hHPnmK4wzC0bELkOPkbdqAGj0eI42vnZaYF3I5Nn9cLPBwREHQsp+liJldKVhS9P
g4zRYoZwAxAddZaN6xa7bX9ABdGEbMmvaZiBCjrkmJSkKSSVUU5Lg91Qvc+o1AgN04CTTW/vxwfs
29kan4d1JoYkYG7MdWRryRrH41+0SUSJhOxLFYNDmNxmTqVEOXt2kq7JeDEDzqMdpLMz62Nxfi+I
zsp9UxvtDidwbNzEdO9lFv9X0391vdBWIONug2rr4QfYnr7aHtPeKhQ++1nTh88htnmQF3emOzuN
cYhoCxv13kl90CHlcDMZBcogssrbdInstnaZIXmaMMiHKA0REFl5+0ILNouJ7NQMljs0q4t+0014
iGanxUTMyzQ30lEWBsTbgJJyoOzDVI/PeOfpS6slUIuy+7dBE/XetSpn3Q5V/6aD7Rk00GI66dAd
evEGpFqVW+baUCESHmQitGx4kx5HCaJmVYjfodJtHzgy8CVYF05CAiSrx7jZtTUDKxWwv16aJ/tA
r1DWQS7UaCJE8L9MTL92aqvb0Tzwa6qbu6Ovo944S4t/KiPc770WT01D1TKnE+6t1GWq0nnp0qhU
zoFy1pXz1VwajZJkDc4WZHILF/QPcxsB9fLrunfkx3UG9Q5HN4CF4S27pcZUod+lu9gu55H1Y/L8
Gn8bJydR4cgzRsltlIfmiQ0d4od6GO04AwEKdkUwUuMpCtwU4MiGzYbFSpCLpICoSYrkPaR8fzOz
6V3EPlFpjoflryUJ0pHh8D0CXQ/ZdhuUZ/QyiwuqieNNaKHsp7cD6btgz0NWAcodaRF1d0I1fYts
Pg/BYUwD1KDip7vLE7CIR4XX3lzNiEfxJvDY319NCJEa93IcjJc16Errq20Qj/2RerVAYnMVu8nK
QUjgvPjmBgNCCAicJlas+apBjAwUvdjPzl2yBWmmeHqVkYYvvLGBa1zI0X+oZYU6zyEgidwhiWfR
QGvwp7aLqiOZUH0t1jwOwU9TOe7GtJBMAimPPCEvgpspXS4Na/UdSzV5WEx05ap78GwT+uUqNMDV
aJLfxIjhPPKgw29fq5ARVgc7nF+6fZZhLwM5TYjxcN6tGco57+nspyN4v3EiF+oAEHF9sliY32UT
30ddC7XZq6X0ouz2nTT4qhnw88gSw9lldXADDFD0BJHF6MlqHIRxoNezKy0HcP86i+9SzZs9xvAz
KuGcFNxTQQAivwKaYRC/CcDbpDuAzks9OFI/T/H5tTzsNtQ1oJCqbWl4xCZ4jdBu6VPXyyNMdNXE
ZbYrh++WpVU3CySRwIzcMPDpJVLu8DAFOCVrdLHrXVTljDLSZrhiHUI1S/bpW9ykeFZ0qWmdceaz
zjbP/gVAWX1DvcWedUO8x6/hs85q62yoJoAu7Cks3eyTdNtPCZJegAGtBtLGlJ75UmFn8BY02uQb
Rjw+gDiD4z8XTLetsHtoBeTatsLMB5QZ47w7SvMtH+pPQxSVap2uGpzPk2Y8UUgBeITX0uqDLfWW
ZlF2JFvBc2eWiLxyKRt+Pd8BOrUFpSod5RwknvrVfNyrhLbKK0BLaGQ5AiJI5/oBhGCUDEd9Z1iA
Q9qIiy3KaihOZUdIE+8yA5QVWpV5u1kWYkR9fAiV1jUo1rtnZ0zYSWTjmy7joPHxBEmd/JnUJIDu
AOOLLE40j0/m75fpPKUlVfF07yZ1fxOzaNoh91S9GG0F/dAEeQNN/GSJ5TzNDk6Hx4iDEJ9uih3j
1XfSeXcJHkKi8KT2Tg2NfPiRqQY4bD1llY2nQSnLCJIbwro3VZOz8acFAp5975rmPdmDVnrrIp60
9WIbJR6Z3MQni+CBFqz0LNDvPdQxY1LvWrBYDbtYyLPBszlgBwFlaGNyN80U80Nv2N6BrqrfdBcX
8gMF5fuMZZoU9aqKTH2/+Lp99Yq8bbnFcVwH2PavL7H40SsuXbq6ehc098pvgADcyuwq6TuKYLGp
kcXKcs/ZWqoL3bR+bmiUbIsLPjPw3VSKEXBxjEfwZdIKNKVupnqPDxZiJIM33YxaMe71yga+hDfd
puY6hOws7GJMM42+ucK4ad0Q0rUWB97OY/Z3SCdDt2lwzZcS73TNU66daSVQh477tBOQquB5tzEA
fjvzKM1u6M7vBFwA/D290J2fGmmNxdaWQbWeFRRdBWWGTDkgaXbUJ/4QmStTi+U9eZt1niwLMAG6
NQ08w7YGgiungfwd/tNRPvanNdFrUHNBeBIW7hejTd1zooXsEdLtbWlGT9QUOAZubGEZGwE40xP2
oPVdkX+VeepgN4p9z7oJwCo/90cbpOwD6JoO0A3FOLgTV2PiBHdeHGsPo4t34TUT6v7L4EG0RvDg
SWjv5iayMtSlAT5l0zqtbb6hWVblijvUSOqA5CHvGh0D7qa3OA4fTWnXd/XQvjfSs9MNz5Jt2Ep2
dEtvXHdceF+H/qHuy+w7B9E73nHenrkVQIbBwHvPImADmZuW28H1cJt3OA6ogVs5/gJfA70YcsmE
SaMmBzCDT2O1L6fefB+Atm02I+GMfmRbfByf9NLAPsJwb1HvoYBeaePeOnhT3T53wEpNfQvaI+ux
ZbUvayCRuw5lnW7wpTATxDwmhSMkmT66qiCzugeP2SlMxQ8IK1cvZRdUW20aPYTLC3Dp9WW6dtyw
/5Kn3VYTgfNDudqWU86ucScnYMSEfUBmqzv3ApwEDohfX4tBT3Y8GfNtOhnm68QRQZkmKU40ik8z
y7nzaZmU6La8n6YiQiGyItwD7xwvVq3RdLeIAx0zMGoCsf9haxRd39y/9J+vBzAY3EYZNPFMr7KP
PX5jfiym7HuZvLijZ3w1JmzZZZwPx16w4ZyCE8svQVO/1ZMIdMUqJ8QVpbndSbwJ6gcqW0RXkBeF
APjABn8Z8CijtPTp6nqJogzHLZvK7/irRChKB43O0pCNKxLcsE69NZ7B76M0IPT4Ieqa6IZ5YkTa
v7WR1AEjybEdC0hOlUAdkA37pvcBuprImy7liKdKZidQHO9iEIWVOfKXSjkeOZLqQSFRZ5ul9OUX
G7bGYt8wB+msxYeGpZdpZzsPgWoKhidwNo3bog+Q2EwScdJKr4RikxZ/Eo74WamaE8147iyt/lGg
Bm0FLNb4BEGecWsMeX6bJMgrA9v/Ymh9fRqR+FveWhrls2l5Z2QqHG/PsW07//Mf//l//vv78F/h
T3kv0zGU+T/yNrvHx9vU//NPpnv//Ecx2/c//uefgDJCl8firod/TUiAW2r8+9fHOA+V+39EaVXl
eSPNcwbk646odohWh5npVmeocVxMxLyzdGf2nRg6LbiXb92kiWdCHvK4IvvpOAfBK7MMoPuC5Gg7
4DmIkVn08ThNjogx42OmS4g4JMCFwYe61EDqIvHbRH+IR8vyJfKVX6FR7uPP7/wYoR+0ygqteNaQ
g9rqtZ0ejGxs7kwrwT3BAP0bSf9oNqL7OOuFN7OiHvVxsgxvUspeLv1ZgQ87mWAVOnF0Q+J4Y7CZ
+Hp+/okwEdtC03VoRhQAJFK/Uv3Ryex+DbC0dkxwc0PR5UPuecZDHEEKvRrdO+qZWTzcdU3ruyES
Bn4HSrdblI0/L/5mn9g30FlEyTe5ZHWUbTMnkGtagBpoDIm1MQz1tv54HR2C5isjcsP9vHScW48g
OUuPtLTOrPjc8xgMVTx6ovxCV8pzip3siXqi0BnUfpC6cINe+n/+prn6375oQJd6wAs43HKZYTp/
/aJVqR2OScins+4a4S3pKDnVUESz+NKsriRR3RfHCK/Mw1CeuQWTbt7O/ahjMlr/1UefiqDeoiYT
dzeiMNTxeN03YxOugtHI7onRkAaSZvgO6jBzj3QB5JrGmG1GfKm2WrjKxOh+y9WDzGis4hRBuv7E
mYn3AuAl4I32dub4tqM2PjvlXg4oydqFJpjpwtqz1g3Yw7cmeI1Q7VUKzadsE1hBAUmn1FJlpVAU
HbM7J0WaZe6BT3jaVWFaHiEcWp4bA2BBOsyp05s089KHyGgzH98+PPSRZdJPoxqjVvw+Gtpf/vxR
4ad//VlB4Ac3AxOADw7mUVeNX9wUuk4bZGZ5wxmwzMAfJu/ockN7MsraO06eVfhFF7LPOISaK5Tu
FufWTIpHx9BeyB5EmthM0pz2iBIab5F2sPqWfUZJX38zxkawIS8Hx0+nTN1N2NbNjZUW9V0O3MlG
JVp96go+1XeRatrEvBwoUJl3aidkkCsmfKGeuAGU7zZ5WIQ3oyjM1z4GLyEH2CavneJFb8HVqLzG
atCgFYNJQTu9sbBuUBqcAD6l476z1syK+7TlldxDBDbi2bpm3jFgev+5bbXAr93evIu9KtpDcQ5/
fpxm7xkrUTtWTtMXGcX7Qt38ZW4frTHfCC3CeO/Vj9yJkpX0GnagLuOjdTdkHQKjwKP7lZeFOxSz
BJB0KrS9JlxEzGPjbSwC8U1dgI83+RbjolcWdUGWj6FcnxYfDO1Ynpa3dFpcGjo3IhLhrqHcI30a
MHGr2f7522O51vW3x3QcIBQgo2AaeKrQI+fi2zMaiZuEkS3OGhB3ful41sk2RvykOLSXG5P9GFRB
EplokOzUzYWe3ZqRvrmyU5eaqO+atdtKbV73d34NS/aDjooSqV55mUqvMA4QCXIT9nplp/fg5l53
EEW4s1vhHUzV6BlyY6j8cdzDoA24pKH5kqzUpytwTHiHxXbtQ8stw3SFYsObENW9N2kfPeHnZGzf
X+/fLnXxJpa1rpa+fmVypHc3r07uy/vOQDCbqdde7Bd+y6ssyyy2QYtfnK6ptwE+ugNPEgjC0SU1
AtpJBxzv9MNio6srG7LrAxgV1BLUXPRpibnvljEYmhqEoX63xu9s9DIAA2KXfjUcgaRuVWpVvmUc
+AYmg5/A3CEdyadPTVqBj8Iq+pMzTO4BcExo+rla/IQ0AHgSgRj4rqRT0sYKfrKCfQVv6vTJ8fpf
k9QmpSyGbtsU7gl7+BRcpCzNfTevJ9S/IGCn5Vp0Tnr7xOh+PqpR2Sbvo1lXxDSKTHH0RBOmNrqc
Tx4x5utIyG17L4m3A2AVR9cwU192oM6uYjzFByOB/BZrjee2NQE5KsrP2B/Gu8REzXY/usVnI3du
nIGxZ5o+esA22Mptmc7xf6bpyGJFEFnGuW4G2jFN52uIiuP/+oGxmzF3NOIxY1u6ebvuLJm+6XV3
dmvD+YFE6wPTkv7VAjHPps+tBpzSuXfMTDPaZLWRvvGhWVxLAcmKJvJevLKwzrx2QcjTgPdT9VI3
MEG0NCFY6IxM9wGKLzfkRyPUoHwMNemYcWWfoDXu62M1bYweWHxtDJs5y7VkzpYEV+/Y2JFm2JSo
JNmcPyO/zgQSrw3E+1yacZUcU3PxhIEAhxbtSCowyTQUTtJlh/Ras2J2uKmbWBzIJguO0jcaKNxJ
2+O54UCbZeIFgDeqori0S3agK1t16WoZaFX9cUf1x3RJ3haVDZMTSqlRQbzMbMu0WI28BsCaT93W
zZrvttp1lax/b6YuhqoS9XXE+KpVq8Qvl/FBpkA2ZMDH5KqCgppalUZUVG9B/QGQtZUR6M4mUfCV
xREVhNo+ROB9/h/Tfz72sLlxcOOYtRIz9QeZ/2hMvI/QXwp4FOaLRqHCulbe5k363pQBB7P00qfh
0VBgVTJSH+IuxgYbwXg1j/z/rDGv5tTVVmi6mZy8rEgRNgYRrcY5v0estD8w7E83IwOYA0iNHQGo
yaPEb+Xe8EDHQx46CDRXRZVnayAD7CMoV/c979o99ajhyr50UUzYHsqwAs4VlYKFFUrUh+jDZjTb
slwR14kTt+Pt3KfLqLTzYkuX1GTIc+ulNLcgj23lnmy0Gl3FQaEg42p1G+S+CLM6zTGvcSgXNbAy
DzSyvA7NQZi6AsCv14Rf9UzuCWY5gkJgX7rQECeUJtn6bW0H+hNd2zpOd+TuKYJz1EBduod1V/tO
kBY+aKO5Y6zarvsxMROvhP36jkoU4wn0Y9RlCuls1la2adTopLo0aohU7qiCccyCDNzkxh/mLs40
17ONgwxTb1WhzPc2Ud8zCxF5qEcji4+KH2XViylHagx1iD71U1RXop5LDVEjjKzb9KGNJKHyJFuf
x2GypT4tunjPU4K+W/95a8Z0dr01szxUARqGA91Gxk1Hbd0utmauHmkOwhLGCfAt0ey9z7p4M93S
X9ClV6DUBWz6b12QG9b2apHIwK+2CaAdHHR3iC3JU6enDeqfPX5MeP+QtUPzSKbWKOTGbut2Q10a
+M2kPBgfyIGaWk1y1aRloY9JvdWVK2zY0/nYV1hgn5Op943OfxmUJECbPkXRCvfhck9GZuCmL4au
Q3Fc5mnh5m8yHnjacNwvDz2JehAcPickPF0a0FXbupYo8EDLka9LvB9W4WJHIMdXGYJGwQAnyIMJ
ku9tErbhsQYnIfQxG2snJtO+63B2B4iVOS/hMFZIwfXet9YBuTSCyCEQ9t6K9zuOE8YtygQh0Lrk
IlOR8LVV44QYSTscVkuCcu43BnK+amIM8e0/f4H43w6GludYjqc7OnNR+2JcRYtEIJsSP93uFHKQ
/oQmKnxX5VSi5lWmvmmG6GplBhVq18tB+4WKEzB9FxBSSzNrTUZqNPwydYSXpmAN4dbaDyQzN65t
TtgkgcdvRQks0YJDuc2nyacuZF+BGVINeS8D+CM0d+SyDJAfzViWipR0l17Y+Zeglkh6ohLlqY81
yCt7MYTGHAcFVCjK8gPdRv1Z9gZGhOLGRtrOr1X4tf2QTKErsqHOJNk5mnwiKZXF/jvfC5c0MLZd
300rMY6xP9aZfiwcy/tUmz8dhftLoU16yF1k7JrRHd7Iq4p6/YhCHP7Jzn9ayqscAZkLbSTkyAtH
MUVrirXIC2uRefGiSbQWA9fW8c/fDGbZ17cWpIodZjLXcj3o0bOrmIEBwsg24lZ7sqba8yfFrE1N
JBgkBR1w5Cw2usrGwQcFizhHQwCZCfJjeMpd+OEElt271YiAVC3OrReH+7616pUs0uwJv3VKs1P6
3MNJ2o8N4ezIBmy+fnQ78WXOvE9O9apVpnYk34aBgifFx78m3yovy6f8OHv2Ucj9tqrMeZ0WW7xj
LZrPXgIApT/G2ZvngjWa1tFbY9qVRqOB5cat1nK06n0NunQAmxnfj66WfEKcZSdLY/zSt9GlvUB5
FNl5kV/alb/Qk+lLkI6fNbt+amzrjNLz5hHn0ODeY/I1RrjozalduVPsg9uUNeWbGVqnd1CUMC3A
xsIfEqQNJ8LdqN4UhsGJQDkfY/bUGC8fPYLkfPQ+5oFC8GIVWvNjHtgWghP18lDMr5AlAHaGIUCs
aql/NzmF+5/eHr3Zj7dAnh9vb/Jqf8hbFISlrq1k543ChWCsp91pXZ9BidkunkKcqhC6a4qnXHfe
bcvockV+Wleb/8tvgV+HOlVQ3bNdl+FWifCHffVTaHuA88OsT0+Fi4ox1nTY5lMGak5LgbpsZ1jN
BCGEX/kpk5fIktvDUZsqZCBQfeKDNMt51rQwOeGX9TMUtv1sjV7w0DjD2mWp88xVg7JuaHKM2SM5
cLf8LnSnPM29AUXnXdvIPbki9QlMY8TCLXWZkYwbw+o/g6ckXYHN0Hxo89Z8qOo62w2RBlitslHT
RCVfJ5Xbbhab1gaJP0auu7Nt+90PEN8fRsvtQ2u6CDQD0rpLg7A406yszrMHiW2QehWyIBJXngDa
vF1WMLs0PCzvKLHtCBCFMD9MOkpBZV3b9yi161WsVCAank9fxxb4vTpIX7mI45uqi+WuLHTjLQ10
nxygkm2sBxtVBwNCLY+mh68NDdCSrudrWoRA9CoPUnf/v9wVzeu7osEMR9cNy7QsC7UBuvqqXGy4
yi4OB4gwacfIBpv6UkRiI8tnI9czC1Yv9qWY5MoGee5m7XkhSlhQxbaKsnC6oHNdinkiCXECnVvj
PLoMEGeskUESgeYuAyZAOGxFI3acNigDre8bQi5LHcinRAArVatLC+jWLbfCcUXDGoKMyY4uITe9
D4wwPOC9dQedYz+QSa14K8AB5cvYzrey7c4St+4foV1dXaihQRT1j2lqroYGWCY19Bcf5ETSlWkP
5U21cXhZ3BFdq0c7h3JNlrlD9mrDsE2/+4sFiDWxqnUFXJC88XNV+p4pritq8slhRwGmo4bYrBCX
BTNJ4hrfSqm5Nxd+apoLkPOmY1HrTx7QyKyq2KaPUQRljvuFxyYuirZZET0S8dosjarunPpi2ym8
QFBU0ZPdQ08P2zvAXFUPihU3AeI8+CW3DspRocycppAy7IHhr1Z0SU2ujHTleRNIL0TrbK4HuvHp
z19wx7x66hvMxQ3OdlC5xkzTvs4UOPUENj8XYIA8lIgQoaD9pZfWWyEMp/YfoUKVPsfgRHpuc4Za
WlvYt43ZZs+JKIB2FKUNvhN0dQ2KFMBgZgA8OSisaLlixGwQVBCpzgEHScodJXGogSx7coxKcUv7
eErzkF0v5B6FDMnwoKci2NlxqzWFotLZRNqPocFtCXe/r6EtkN4F+hiFix9dGsWB/WvzkSROfnnM
+WDyAAvxQ4wz35yHAS8QAzoTKSXK3Hhmzo49T18Hivl1ZsugOta9j4pmYMcWoyVHyc2fPwVE1v/2
MXD8prnBGGfgP/5bcs0xbQ9bfkRKusSaUIYIZvLJD5OujsCLqJeo0Ant4Xs56uJc4Uj9ZKTZBlyt
kPUBBOlJKyITR7G2Q/alxNYlZtNG8tB7FDlq5ofcNSFRUHuPSaF1xwSbKdBfdrk/8VJADZEbN+Sc
66AdBNPPTZeUQ+5X3ZitizwMtlOgu49FatpbQLVd/esU5/qDNXXNFgR47c0UB9jNgjyjRv7ySxQV
DULRAyLjVT++oZZsleKMNtsX/xQxnsX+V39aJ2+TH70HAQ2qZ9WhNbyzEBnybaplXfo0nGdg7LM7
I4CO71AcQ4HGHnMISk0OGqH1eynTHZlocHEzUtw0gfiGnxGjeNtrveRW9rYONCMaE8U051bqz0Ul
u32fimJn5yaOqWE4NSue6vXRo8uhScWuHauvcxcaTw9yKsPtmILaf6UhonDIJ64fcFzAlcVhpP7F
5YXrfHnhME9TCyxLzVNpJKpbCLyUQE0WJbuN4/ZzN0bmthENeJyMUUNLIwBDstuL/uyu5tBVZYKm
oceNazN3afq8CARKQctVrP781XeuH7BgtLNsD+kJF1suSzeuHrCANnTMTlHvUA15NAExiRo8qKYV
UPll1ov4uJJj9G5brv6tn7QsfDZx0D3kwTPODennKUNNHo87Y5tM/fjFK1+kM6SfmTLHSHdvtcgs
T12Sg9FdhgF01jycNgqr+WR1OqBZKAoMuig+MBwS1kJVEhqV982LbSM5pXo53tkTbp9+GEDy0tXC
6hRmEKjmrDXvA3DQnztwCiDTiZfmsgARNcjp71sUal0M0Axocb3PGC1QmtIMoKqzVdhhYALrzzwj
gM79l1QILIX0xp8/E85VLv8SVOIYJuO65yJOYDPHc67CBI2td73pyPE0pkD3GBDiRpws9uQtNWOS
FlCkQpM2QA2t6HJk7WbIoadELlrWFrcONJ7e5130Z281mzyXbh0EzdYKtGiVKf7NGHndjXRLeScG
Ju/oqnEh1SejIF1fDUzgvttGBU7QNJCoHQNdgcAQQFkcxRFe/bVUqtaLxiA+CHN4WlYnDw6d22Nu
TtuLNdRMB4fnc5vtFndahuZUfe5noE6HQnbCbkU+DOeyyGJknSSeVE4GzJaypUadGiucWkoAuAFJ
yxjSUDIbzR+DHa8qYVkQXcqf9L5z3gobCBnIkwz3Q4+yixpSgBsWBrfI99bmuqrkF9H3qOd2cAfa
/aaLDMt4A7VV7AwBPPG1EepTUVaw3cANHftLRwebpqr6dpoepPWQWNy1pgFCH3zTADq7mz3AHMJ2
bTHpq2wI4EsTPmZNXjvtGtCRnaeZfsA0v7tUwQbBBoSCRpavCUwE/mlE0QhvRP1leIYqpWbrbDWc
ytoVODEnEJiCDhUUM1yuPaqLm2d5bnlbIDn6uc467hvA+J5cA/AtZKCqdRdPw7fWWBNWuVUOunKA
Ym+wZyL0bgnxCZlJd4tKDTwUB4XsWrCgM0B0gu4pgOzIGCsgLTUXjtHH8CLiBp5MrCOsFOXxEE3z
c5XvCMPoVYsmSAJQz5pgUk1LiaHZBcWYN0aY3vHBdB/TKo8hUYOihjHHg3kY03IzlP20GXvhPZKL
Mb2aeHyvYtu6MW3Tfgo8S1vXEgUUJZh8niIkO499UX8BgRaURPMOqc88bteidBxEVlCwF6cg3wMl
w3QYnO6eTBGHrtCqyNzmYHH2gFvfhDyeC9Y40fLHZRZdja0nwB2WPF/Z2xqaIij/e7lYEmQDKPZo
vE/0ogUJaFW44ezbNH8j27yIel8QKur2emJ9tqMQbFJ1DYiOxcqvnaoeXNyAJE73nhV84yUPdymE
C1a2yujVqp4Nagqom9MCAI40x7+ykwfZknjM/Y6Dw9Gl0jgyRqrcrmOQyFRzyflidJ7sNO/zyJmm
ASrl+iDYy1ErHINCoc6/maENMYms1V+aqBvWSOtod/3QDruhE9AxljjDglqs3AlkQO+HcKjXVhOE
n0qvh/RXXrBvqWPcgAQojlZtKVZJ2ms/eW6+JX3M38Z8qHwnycozCiFB2wiWaRkY1b4dzVdijKZm
Kd0YebbVkSY4kr2rAzD7ViAd87W8qTZL5cY8bLXV3g3s19lvWU+tkrfd+yp2si3KHeW0dTyBUEHq
BnPXtT1+noDtpUGL0uSlc+nhVHlwDpN2v+TFtQ8Psv11jUqVxRRG8cOGkghiF8kt8L8IwwPtrCcm
Ku8yN51tBIN2uwFq8RB4WVnd6IEkU/FW9qaxQcVMetC8jB15k4K8ch4OFHGlGs4GcGelYAjX3ezE
aiWHnWRGfGsKxH9IfSSroP8paudI5awygJJhr8UC21GUwlJDA8IAiXkUIkE/9T2C4O9Vsb+Mkn4D
Rg6OfEWkOrOnLufIXg9ezXpE/erC3PuLpBdRJp57r/FgV7uLeTMX64iJTE2cvQHtzVYQngPdSxdH
j00CVsYyyp9b1bgle42EMZxMbD+fGwtBfU3vUTVjNvlzxdLsoLMGlBDKt0nb6LFsYkA8MUgT/jpd
i1FKEYeA5xt9uglAOnTTesP4BrakbdoO+nPQ6vUZT4EGtFywM+XmKbdedevK3sY80Z9RUe1nZtof
wb0JAgFdG98QA0gVqxy/idJkXlGoFQsneF+R7PTC5KZlQFul4IBFeKx7FnGkSsyLV6bZ4SlBtGBl
uWHxaoRBtXPbztlQ1y3Nzg8EMCLU9RJ+AmuO8UBryCxck3m0BRgb1BrGxxqxxPG30px1mUoN9T6I
PFAMopVg7MBDfzYtdgTiTJ8FKJUm2xyXGDLA12w7fZ27EwTgS6cH/zIij3eFuc8CuzvnlatDfjgc
zl4yGYdQbxEf1hwnvRsbfJdR3DnsjBpIg3Uqe4Fi7S7cYF8BVZaoBSdf54Z31Biocb4pai1dlVkk
g7WXjfhLGjed17978DpDoXWeOF/B/hbu5y7NhbQaWwMbhIes8u7iLJoXFVrb7zvc5MltsVN3av6V
WMICRgY6lhVqN3YQXsJ2JIQQ+R61rM8dSu/OgZbI8zzARVf4neEhaQ0M8YV0uQ2QStAWYDwkcPGV
nPksXU5DNPHDm3pGXd5WXuAd+MYEI+xF+Tr9PN+teHjVdwP9ajkolPvibq5Np9+1s4bqHLhdY/sl
rKW2rhoHYHdA18doFddWCwDNYN54LG5PY64yohqSlRTQMEXb+Q5Kv7cJZTBzVs8+S+ADxIPTDgEY
yAkoDH2iYPZXRPjS629BhlTtF+Z7umoAWVL1GgfQ5T6gimx8lqg/fBRtAvEu9LrWHp97W5yCNOnv
yOQ0RujrQxUCY4LBAOjQDbZqzoZGJ1EhT9nkPwo7kaC7SbrPdTdir23r4a2ULf/U2dJv7LH7LKTG
dw0yx1tyE154xD05fE6cNj0hMZ7MbhqvY39ougKnu8B5SnJwWub4Ahe66x6SVLSPYcleulEHRRNq
sx51BKhOru4eU9x0HnPVaGWpb2Rnx5vFZhj1oxHa9pE8Ug/VIzn0j4H9vO0N3X4ZXL159thn6nSg
FHyKUDBAPRufyRMwpWBNj5yXOGLBI3Bd69nTq7vH/8vYdTU3jjPbX4QqkGB8pbJkWXIe+4U1YYdg
DmD+9feg5R15vHtnvxcWATQoW4EEuk/AHQm/7NB5xC6wTqHtEYODULEYW1OvLCByboLpTXvIlKNQ
G+EWdmpdNp+mHCYZYSm8J+wqnq4SD2WU4mlEYmODC9XucEtyEHAkaLHoNWqxATBiDqBCeUbNvXhO
SiNBeQEYVRgRs3u7bdOAcCdp6JwFAJbPEdTcLhHVlEUPdVv/zxH6VUIbrnhmyqvVBOpaAOVnDtNu
BZuhvoUMkByHtZ2OEdiKeIgvUUCaVr0ck7Mlc1ATpZecu92oWnaiXjqUhS9W3MSi+/1COn5K4Iga
1xBn161LXBLaGwYt4qDDr6dcTYnzmnWZ3NNlL3FOUu4Hw3m5RFRxJoJ8YLCSABv3/U8cmh5yo/oC
kBZ5/xMvbbYvu5idrpcDbkGsmpGjKEgTmNNuSv1HmdkYLaPerTes7N9cA4+qCtblT7rF6/pDK5VM
3arcNJ8se7yMqbAXT6Wl/m3erzGoNpVBnLBdZ7v4zrXDt8TvsQfQLRjWR1svBPebmqNdPuceSkXN
tCpCJOomrRrVqxL66mFTbXpNR57sCb8jnz36VMts5PwtVXlz0+rBJMreL3gZHaxV7Fu4UMWHRQFR
yI1T4T6SOtNFZfSqN+qpBAvnKr4hRVLqrwW0HHjJ5YpESKlv7rPxwJzhTGHX/l/Ts5CBhJhXw9ob
hxRO9DN7HWbz/eza9+msmmX0NkNB7jLDa9TJzdWhnSsLXsCT+QyuDrwp2HgPTiuyNuOL22Tms370
nyvJHzodA4Ehccig+RE4TlIcM2moFbDdzX1pjjeQ0LZeYEfn7iYZYUeqtY3Z7GVLIwRMi5po3TjJ
2N3nTQ8aLvS5LR5X4YI4USP+8/Ap6ltAC6QXLi7sqUYU6XZyIaqJFBXYIbw9OvoPG7gPKJYj7x2r
Yk9Jt6HeRDY2lEzYiVoKGt83UoDbT82M93xb4Ya8pGYb5cYKb355mVrYFSocccX3rt14W+Zgkwkt
HVMEIDBgQaEg8jBCyNsHu3seIdADc0RqNmL0b6Xp/xWn/rjFPQ/cK5ia7HsfslpDo4aTAN/6lIC+
uak4LKs73XcdmPARwnQcaqbXPjrL6kEtDYiALj8NeHxoFpPXZmsauI4Kq9cKzUgm0EvSAL0aKnff
/LSrd9QfO+589Px5XtnTawigFr7bbnFDZwoOb21Ap1GHEemjsBJYYZ4ujNmfoHSNThqmQ0LDdNrn
NhJzRc+WgpeAk0IkW3m1vaVWNEwpNJ30vZvaYnT9QzRHQawHaDSDetp/ALlM1/+cYRM+drset23f
9sGb+pRhcz1fWkM1xUfelGNwQVEN8LXEAq9YXzFTbQnJ/ZoPtwSZmkC31E5db9eA/P+ZBCiRs25R
HIeBQJQvwwzk3avONnIlqHzJ79ceOruGhlC29wIK8+V3V1WLxIYG1WTKU9S60WPlQYp2HqEIAHdr
+YhaFYds/gTwgB6dLT98AOhDD1EHxF+R2mDK2lM491SGe1qCf1eHw2nDv61b50gtmgUv4GPvzxlQ
HMIIhiiJYGSAr7w9FOG+gRL9k4KH6RIb5Hjb6iasSMG4tiCsR8EGfO23opjsBTVHDpRB7IzgIurg
Spn1aS6S8yVWAT8Ck8oAN5BoWHQZnmKood7Ty8xG/mSzcLil0N7AbxaP/fRA13GkEygotgC2M8OC
Xmum4JEaLaffmzQKHJl5GWWN+zEYlPSPzX+bW5dQL0h72JSHHEt72P88RENtH/zYbe6QEFN3usvO
pX1Isau4o/6Km5cuv1XLokrBZTJdqL1BtsM/DRFM0z29Ok87/zTrg4xL2HCM3k8KuPZjr9ZDpjzM
1zRwuciv+ddgqaCuMc68W15goR5gNumQvJF8J3WBWbZnqilPBBRN1QTgdGa362s84BJv1KqbxLgT
LUiFOg/nEG+dmD3EUQ974MUzyMWCIayzbxRUtIa/7rH3WXSlzE92V+kvTjm9KWgd4u3rphMUFfNT
m8VGUGhMT4uk6GWAZsQQt/8wA97tE6BquYMcnOQb0t1FegOLLf8RFBfzqS0+NP4eobCabSns7zmj
iu+BMfDhrwMo+GQP4sVIpnJfp0gAkREPNgTl1hTKTo/JzL/Q459WBmADr5nDwxO1CtCNVnSgJg3o
CFoC0CIBzAQDWR4u99SkMxDsgSikRcOvy9ErQEbw/XIUHOOLfvJC3Dds/JId2eNXKQ1v17VOtsCT
w3t0k3o+5mL8Si3R59CQtPgM1V433MVsih971nMssDSARzetNK9OEouLouqAE0zn+JgJ2AAI1GMe
WWRWyynPh01fs/hxbuAbkYBcG9BUkebFzTSNS0jRlYdIAjJUVwMcUFhSUXMKTWRZWFHkmz/XPwyq
ev9W/3Ad1/BRFYekjAm87aeilKiSykD2Ag/piFV7YWLr4lXshx+yNRt6CLBAM3XsgDvUPGYQyi2o
DcwCjC1siL/j9vDVYn70Zln4fqG2ZT8rniDTUDD7YerZvCyAs7qr6j5aV57qbpMxnCHf7yR4eNfd
LqrnaG/4Vn+AM0Sy7UduYfdZdOuJsfIMAGy0Eo1sF4AkA1mA5ebCbcb+xQN8GbgYs/pmZ9ERuqhT
FJTdPW+rGDqDQ7Sq/RzuCg64G0IvuYxQk/9c9YSSd7lMw6m8m9q+WMd1NR9ZyYytHA2FcuUAfZV5
NDZWlDBIAqEQYaZYdWetiHaObZsHcLz9wAgb89ka3XjripZhbYXmyAHsTrvRhsctmrC8B10WSbMD
NX1fPFtVbZ6olXhdALVR69Fp+vShkcmauiPRVLczuKeXFxhKYw+PUav+ZtsW5E+C1oSmIUrOqDN1
KWQaNCiu8xM7KJ25PhAITf1qDhJpVyQZH8Iwv+vGfHzJxgE0lm4GjcWNvRsT1kQrIDLTLygO3BpG
5/xAgusOsIfhJcSuYNVD+vUGGhbujRNnxlJo+OfQDBszr4vzlPL8LECHAb1igiW2gzwAWMD5mfnQ
WRXwSdlQk4J/xSWi7jachTGMv5JxxQrU80wbzj3UtCClAY4TcPDXUYLFe7yBfg+L0xt67kiLLURU
yQdqdVimXlvOHC0ruOgcvJRbQGemF2ne1MLTDhtgD9LbQ3EzKuEsxzEvvnLjf45IKq8HMbby/+0a
CZ+t/0BKCOMzNs/xgUdAyVg4BkgYnqtLlx8AWTwESZrVuHAjBqhKXoUVSHwhTo10lXhJd9FiUCYE
GS4qCzR8kWCgSYYheAHNC2gvUJtmYoffQaHpl1gDSOTxogU+fBmKiB88fcCGcj5QExgwgNbplDpp
OAWeYOkUDjS/dKAjfMTQ6XXip+tcJ/sWq6FpkkWgqiOdM4MkHhDWtosFMOZx2m+pCW3B4jymk9jr
uJrinGwqzhQ3IIO8vXRSDLR2Hi8Y3Rjw8IU36C1COP0koOooVLMwjag9Qj0WyJt0uPRPMaoN1D8b
9nCn4wnwarTGx34dDwTtm8RCfOtUhXFkzWgc6UzLAB1lt/LHKf/QDYfaGcnU2O93Mm9uKTRiIQwP
hXsGvOxudOLRBVaw9U45qqVLFwoIS2rSoepUvo3YdIC/e/GIUta8RHIqQ2Z8QNNEvS/xQz+Qtcgf
BTZ7kIuwF46OpQnA+D0hBeocr9PT2ss2FD9lku2gWfo+3ZBIfnigTe26podhRgfXDIi9LfOsUwcO
RsCE4jhWUXFjtxBxsV4orB99NgUsNcIpENiFYiEM5X2aTIcPQVimXi5GfXStaxxd1avNF+o3uKt2
LLJueF8aFZStmTpcDyKp2g9Nm5p8rJE0NJfXMDqj2EuEvsinqRTy+TUoRqrIW9lFKoO+MHkVXCe2
1FYsQS9dmIamWGJRAysF7F67+zT1BCgdvA9qj3f3Sh9gX1QuuDunW2rSQNnBPaOV9zRJuzlsK2GH
wWxG/aUPDiUWUA9zuqN4ZkPp3laXMa8GMjxxxa3AahT+M0p9TU2xD22riQKPY69Y+N2PiAOB2cE+
4zky7RF06rg/xbVfbmcsgjf4s7eRgy0JcFoaGl6yNw4y+KyfBmUV/vTN0HvMm3xeF1jDYtuD0EF4
bOHUTvgG1ZgVPTg82JG0KJg2QyWeoHAx3fLG+9JbvfnkpFCuxjriy3Vs9O0vNffMJ2ZWkFj4O/Jf
5ulIPJ7BT1NyE7kWijluPB0TSKSCzAiZPeq7Dth6lJoeJJ5hcBhCLAtsNOzV9OQuYt6qbppmxYzc
WwMT5+7roh5AuwSNlkPZ5Vm1xtdWVeFfXVwFMrWs7z4UBkEUKeOHUDinoh+epAe10GBiHVYM+iAN
ofbxiEJ28PmUxkG4U/uUxi+T6qi9zLxO/xBDpzEkQP680rM/P01cblmOCUqM7xguWO+f+FT95NgQ
V/LUTQt7OGF6cl8YXRxcNEaoXc7j3+06x7K60uMT6kR3JCwisnjcghobNKaILuxgj03ubd+4cKLM
wB224HsN2X6/XrB48LF2ZKDBLlrLXl93RhC6kUGaMoZHNDh0eZjE0HlLh8tWCtCB8gytUGyUnKNI
GlRPtJPYJyVEmB1M6ykX1YVQ5F01Eq8EoxA2fnCqUzuVWPzw5/fyHykNF9l5AA+E4bgcLifGpyez
CZUcA0J8+c27rpuRQv/p8gzzIvz0Cj8P11Bb8L1gmqE64/XT+1OKHl2or+ydwYW8xolEl0JPhjcp
HmgBST9EZpqup0ohK6YFm5QvoBuDLeDt5Pfz8z8n5RDnWQxyLLeDhoSGJsjnA4vKXaUVhKjPVqy5
9NkKMkI0EInf4jo999rXVmYDKTAJ7zQQo7127brIR/pRfg9sZ3Rb1KMXRHh/XvMiBYZMeB4qrW19
P9TzM/V3eWYvkZ0s9rbKyxe/qxZDFzqvhtL/GHKaG2pyPmMXa8cvvuT1PgYmbEnT9cvx3Mju+1TK
y8tRfJPBJYpeLg+Bv/3zB4sHyadklcsdyFr6nmELEFj+oTGU9rVjuSCW3/jNEMy+tXjX3EnM+DSi
SQo99HPw/58ufPEWF2EeitDXoN8QzcQvJznpCGoNNXDh+JwPWE6Xe2iRp2sTiK8vkHPfOtgHfRcc
3gqOF9V3ydggolRa06v44kh+N8ta3Q1VDMsFU27piwPmNcevdsYrJhWk3mEjAQNNK91REypqHyYZ
UbItBWMB2PLtOgk1Ivv3gzLARQqoE+bR+dZuh+O/xV37al4cAc60nDcUoYYg1l43iWOJbV3MX6h1
JeAbLtxwpB7EmusLPCHKW+q6htHMGYOX/lDcjQCJBF53S3Yb3txpHCxrblFdEze8EuOyhiLGtzm9
BCjAnRfSqZtb6YI486cAJ6yr3ez7yxjUCJ5v//yt+gfG0BUG5IRs0hmxLGF/ul0UyN+0k2fIA4x3
UE8Lhrjf511qPLeWG3gJ7x7dtJwfwsRcykrw52GCGatZF9/CpObPbTP6ACsU0EHRc/wcLFDPTRuY
zSJ2qvNwiVdItpcr2mA2c3seYbmDuXrjycOQn369HA/dpRhhdnoFqcflOC996Civrn2ZbzonqLNR
zxW3nnHzYygNUKgaFlTp7QeINNoWaKj4+VSwRiksuDv2FVfg3QKX4NTWa9vjHpYM+F9QmKNeqExY
t1GPXPQAL44XQLmN7WxA15lGs98vUbnG5RKdMdIlDH3h2OLvl6A5XLn8colIoyOuf0XqNT9nHka7
Kx4KdLmz6TkABRFQ6gqhkr6Z4eFkwchcY66uA6ZM/yMR4+nvwMc8jIvnsgc0vPANx+SACv++2XNq
aTlzNas98k3ggegUaqc3/ND3weZe51vV703gUd9H7YKLD8Gqsb75HGJASWUVq5bzbB2Fvv3gsxAS
/1b6Agq3/QCZPPsByipH124hBam7YLP5Hk+DKeC7x6SNX6j1K77AMuP2csG6GWARNEGvu3Q6A/4E
YbwlIouZMYC1RvHWQsvl1OgD9YumUNRPrcHOqlu/jxei9Yq1O5jpQz1jO5MmJrhSQGwAlBz+zCfo
hnDYroS9Np/JU/fBZKm3Sp0eqYnO5XsUaLtNDicEfTuEqIszJa8in+4LGAr+VNmbLJP8rxE34cAW
KnnOwJ9dZj7kvWDtFu2k47IzrC6+tBVzoTIQJmsec3dT9qP7JQMjjRVj+hglDvuPj1x8JqR4Bhio
lmvZpmP6/8SDp+NgGXOBCpXXe0gDTezYGWApZLLlq6nwGHw70Xc9hJ3WeLPiH9cuOmNI+S9NECeW
Qzk9D/A1+qv3Q/juovAf+JVatokT/pga4y2MWvlqjlihAL9sPcwxTMZUp9JTwzx703djdpBtlRwm
KXIk/wGZLP/jXoi04qcvOui2grv4AgrQb7F4+vRFT23RIyVaNgcLrMEbUDXcbQdU666Nyuh29Gy9
OjfaR+YjkwuNnuQbh2ldXVcd8mJVskTNjH0vctCGTAU8oSkYX/JO1afCqZrtNHkeDHnc+ghOnQV0
Qzc/jLhjBnFuIlU5I19FV5IdNg9w5/5rLnMJpR7be54iu1oKvMVnbg7uxuyTfo9knAnuW5yvHdXZ
92EKY7AQgNg3zzVOdm5Dus1k594L5U8/y79Jye0X2IyFC7pEDF3+5oRfYg97h3HalGA7L66WY8ys
/9CntCsZBVNcFecA3NqwOwPN31vUjQSiYhyae2AU7bkx70Irbe4d3Mp3KYdPKo3JcfJusxFZMHyU
1bNEpQMQ6an/ivfgVPfAfQWG/xQasYvvyYQyuvL6H1Ab/hrW+J5gOx0vPNSJbqGVnyxkHr9dF4+l
6gFAMNM3WkrS2vH3riIF9qyEnP8mks2irDm+i7+fJSIFvXEsa5B/DJx9GF1h3wYsjNkM6p62kboF
we8PLRqjTWVRzitLR9Km8tc8pbeYeozm0ViF1v8279dVfs2jq4DK4O/8ToyrJp6mg2uw8VAVPAvm
rjIvfRHIsLBX/ftAcdcmnVFfn0HQG3nd7QCDnRqUA1yvzMYMUh29ubrETfUPj7vTjrtjce+CeLaJ
pVTIIqDZz35xn0JlcCG9ud1SX6v78BMIfDOvztSF/FB1iC31nVpdlIAJwA2+gcId0iER7DR05ooO
JiWr6FShxLjpkCfGBkvnubKZHzkNU7szJODqk4rhpaATXNdr0FmUgh0HgaZ4Y4F2tkNqHelEYIGP
DkhOB2ic23u7kRc+YNmn0bRru4qvqwn6Bakv4NLkttVuEiWExiIvO3ZF9SAt+D9kwoserhHUl+sI
AIofKJ4OuO/86zUSt7xF1uups+P4mxBq6Saj9QX23/Z68Cx7WzVG+lSFxR0FSDikBaOBpH2RuNAS
ZG28hMGu/FYb7RI0NetLHpsO9jRQj8HiA4zIqAvXSLmVWEWiaVhR/JADe+E1OSDougt3xfcIGqS+
3yPoGpNll0uAz5vbhjsPwIxCXcOIkUJM2uacAE+zsEbhfYM7F1IUEP71FPjG4OlUMF8b32OrSdo3
Y5tv46wZF5OLNbmVtVtWRuyvyrKAFA3r19Zv5XIs7OmkwE3ZoQpYb02/glOenjToSS3IbfCBbO8d
AJ7xwaTpY8nyHS8c+0vvZOEmtUe5bpBkhHji/DbNzIW2uVPdecx6oW5Q4xgwjbB+gLHUyc+GRSZq
985MmHPXlra7r0r7RwPlwQTiFQ3w+tASDb3E20kw0F5TOKWYUP/KrXlnGEAnZzCneOWN+aPMKnFm
Va+QL+iR8dJhkF+3lwLSjzswC2NMLua0f/nzat6wPmdSPIjS2Pht+q5tQprms2hgaIfwKTSN5ND6
vYC0gzFoJwqZrWBuBkEUlK1Wnhy9704apkFjKfOZtyD8R0Y6noUvwaoTljqEc48DkhgbbcR9bq0M
tgEzymxmrp6sDgVCKMcXC5BM1JPbz/0B9WcepLpZu4DiNvaQBH4RtU8t78ZbrLtfaKpXtMW59KIj
zWSWze7C1geDEhM7Lr2HYvjRopqzVFK6y2oUJZgmOHRzVB36eEDi69o28xi8pmub2e0Nd9KhgaCF
7I1Fr1UvunjMz61j5hswAVhAfdeDmTZ70SYVakmIpcOHWJiu39YZe4V7lh8kTQyKT96aci3TJAxQ
teQTlpUTW14s5CAMLg417rfkCkeykFeLAWrSYUZl5cBALr920YRPsRRmw111aY8ZZ0HYGN55MsRR
lUZ542HtwGAWB4ck0BE8aKfotgOIwQr3jel9jht2bFuzFP41Hf7OICor44ic/JoudpmDzeEicsV0
6/PIP9MAVJ7jgMeFACjr3mrBJ+CEThiQwW2d4f7iVkd9Bdg0SzuHZt+Hzm4YQAl2GDIHGs+gcQ6A
7l/mXruovw61rXfimv+hkks7ko87Fg/rOCxgoQpsooT8D4GmAYy4SLRTcnDzHBzoGslkpJBz7FNl
DS3UIr7vNFG8ZNruuYB0nPTn5YX0DDt1zPjz79L6vIMCs9KA/iv3UdHm8ID9tLBMYtuukCCDcpHL
s5sJEAd8VXGgs2szL2ttdFUhxaZHcafp1r5XNSivT/BTAIn8toFFNrWuB8/p7vJYwq5aR9EhAWV1
0SQo38a5QKZ5YE61LcA5CuIezilp7aOAm2kduqYdza2fgqhZgai5Jq4V+aDS2ZVgZVn87xCt4U+j
Hw66b5Di/s/vm35zPi3JfRcKSQ4ymoZnYzn6+Z1TKhzBM2rrfeFg/WvjXmqvQocPR6VhotidRAE1
2xzIUNFAhlg4SJu3GhpawFo5SMEFXTZg2AcQT5PHMmlRqBf5wSsaeaQuFOCA4Ka2k7N7no7enaxC
fzOZfbFq7I49m3yCogOs5HfUZC5Pg9SawALXoxl8Tirfax5rVc330NPeOtJjyIZycFtK3Bmp6cXf
Oaz8tpZsskWiQJBwIBV9KgHLmFwFukRj94/4kS1i2bE7Coj6SsHcpe4PNAgaMNRws3Zc0+hspAYY
Wjl0JQoWgKBYvoCXF64bFPfXRJpwQ6dYdAlu5jSKvcM+rrLmPkoL68Eq3BVxKXA7g1mkTojADVgc
JAiSC+hVMOs7Cp8/kqGC04UPU7SJCPnNS5I1zj3xiwRERFZ9CJHfuhNLp82kxhE/R44wgYUq5FmW
AxZTk4heywJckgkguB2AifKVgf5v9nnyovrYOFSNaSxoOjIHclHmTYwFWZc9AYO6ht+h3hiyaNsP
IX6uAwAp1gAnhJnl4baLhwwK4tCivsiTGSp99aYq31+w/pD8jIPE8ZKgYX61ATllAqjAuuOwbL3n
U2SeWTu+UTcsy/q1FWfghWmecZ87dyKOYixaESW78W3Qk93c6td0rU5OmxBJZ+yxNPtKZdaCabNx
qf3IzXZpWfgyUQMq2dnSGvpmQ02mpuIImOtTyh14FI0d+zoMor0JtdV5Z/CV7UBVe54S7I61rENd
xeWtkxj3EDrErz/02LJHufYu1YoQ3C9p/zPv/KEAXUhV/WYa4HgSe9Mts1kBvfZ4tKDiOzyHsz2e
6cBgC3kuU2cLXyXv5hKWxwIA+VZOq2yE/1EpYjuOsPivn13sd9dFCKMo2Os6r0MT/1X6SXoHYxW4
ioD7Elijcl8tDmXJyAJjuxVZ++DF6gwnQfc1Dg2IMzVht8vHuIcc8xNdJk5Kf8OEM66pGQm8+77h
PbUAkx1S14IfxgTmmsSNMkDywDeQCa799eAX3y/NqK0kPCchHVMGbdQaO6OTYORlcsIj2jAeRdf7
2zgM5wU8VY1HT0l+NEv/lVrW6LcPsnpiCSKpBz+7GzhimCeabFuZHWRFPe8v4bndwFKvX1gosq44
LOPvK02VMEBCaaBaf6Qu7kTjTcHLR6TDOASpUyNa0QTfqWE36VrP0WT3AbIGeJWoiE+VOaNmlUGv
gQbcMhKnCXTfE1fi44CpZzAGM6pPM64Djb5UqiUeVFKtTL+R3Q5GUBuZut46qpLytiz5P86SX6Oj
k/V4s0snPU6AXS+whEeOP1TPYB7AYas2IYeUNtEBOXuUwJDWxAecGtgpVfKHy/4CmTv8S6Iu0Pfp
+xxRgoCPylyERVxjwQ9VYY7tcViGWdc5aZt+7ycV7ocQ6eHWQzkHrHp3x7zGAQcMBqtKm6a0noRg
gjO+XCOsKnLueBx+jmjsuV8BH/+zGeFLJM0BJh625bbrTiEp4hrTAxB7xikF6eXYOQ2cYTqbv6pI
4c7TVcNxwq7oQYTzmfUF9NbDYlo58JLZygFNfwlnnfHVZCLZeQbgvDQZm6876KRHDwMbzwOQGOtM
iQ58I995iAx85LVrix9OdqS3KVMAqmGtYD/lvoRH2DBiDyd5e0AxajmN07bBtwf7O2RBe31QsDiD
cat9pi6/q8slYLhqQ5lOgNCmw+RCC8MejO+u7yYrC+jB4MI/LsV2dLS52QhuMjeQ7nCRm9xeqMoh
dDYgMbC1fagBAqgPZahfViCXdheNGq2rnUPgZglGkxiyddvOCn/PkMzP4FoC/qBhUiy8N2Cy+kjq
oIV4MLvpvRE3D+HQaGc0btbfKjWIGo5FbjY/x11ZPRc5+Dt2J+QRzDrx0pSQkIus576wx1unh9Qn
dbtQWoEIVpqvBzGM+KslvEUEbnFONU23eWGYS9DckiU1Ld1HZ3Rorek8pL6/41msvXD0qPTycN9E
8f7S14DStrPBEd4aoW1g9Yu9dCzNxxa1gseODTkqBH635m0C0pUDgUAdoGAFvnTBjr4pwZY59+D0
jmOCpzGru4chH7oVeGrYKHfhuDVMN9bqjsMNyCccXnVteVcrBjsD+CI9Qz44x3MeRu2zJuglqoC5
HOBfnpUnP6OMPTOIdr9aWZIt8qzE6msaQ4CmsGiI02rAepCxLWAq/SNX4L0OLLWXNAq9yAKO83Ea
0GjKav8+6pHY0lN7fZCuOPcRKhzQiBrgL4ssbofb1jHN7EPWN+n9pO2BLQZia62gJkDNy4AHl3Oa
QH10MGfoZaEGdEutMYMLoWcMcYC6JdR0AWBAMj+qHzPDgg4RCKZhNZtbtyjhRKsJppbR/lXaL4a0
wwevcPxVDoWgGySiwj02DvDJbgz7DnjLZmGVpXpLiu4G/i/WTwM8ma7J5fcBIP2AWZG1N2Lnu81a
+8H9VmKJ+0DnfjRkC0D+852rh/p4HHZxW0JXUzergXcL3rERyjLw8Bpcs19UFfah10UwLXitpoMz
mwcl26gAvzmqQBOH9/L7WYy+AZBTAAwSwGrp7Br3+2hsNVZgyV5t3FpZ2zZjp6u3D52Rjw/Z+kDN
UOwa195GOWzT4qYBhnNswBlLRf5buw+Vu1ICr+3DbnX2jx6opkd/wK4bdO3o6KRzqZYxFGh2jeMe
4SXy3QiT5mW050fR8vKhxPt9SLFwW16EgfAt4QNu93NroA6bG3IJS9hkNwCGsACoJfLxNSjlm9WB
MPs01ubX2Q3b9gFC2XB18rscQjao3otoardz5YkAlgZAz3cCWC040QioT2L4kqq99pF5EM2hGLqE
F8MELdJG5HXiAIqvUeV+jSq0sEEkEJ4ttw5c6JZNmFuHvF3m2uuo0ne0Tt/APjVp4NpXjYCxFka/
U/Byhx74wJ58gMFJA8lWEDvuYxHtB2DKrv3hBInka78niy29Zdd434YUisKtGRqTJxJSjUIIZ3j1
sKMuklX91T+iALujLhNiSGuuc0pQDkuQfGgjGPCY6Z1hm1/7ZKpfYdqXrZosanYpZZ3UeshgX4E1
cb73GJ+Xo47CJjkJRrB+mga6+3ZjVEh3G+m5y5KvyIRByLXB5oITsHVsRWDksj8QXp5GqYkPBfLP
Ovg6mungSc8VGoNPzSFs2kWIz2NBC9NEKYjRphLVML1OnVFvOdDClJolB/Lc2V0EziAcmwVlkfuH
LEIyrikhgBLXEIKAsq19mPWBmnSoiroK2smfVxngBk1wHaFAmpJFeOQmeWlhZSgq3mDPBcPZFxvI
nyPzWeACDbp0ciwZCZsAhufRipMENNhI3DsOiuEao9DHKtlrENCSoqCeUi+rpD7DbScf7y5LpZR7
2p5rLo4V0uQrcBfNRwC42oCz3v/eyWzh4Gn2UwCfxStrfG072GaOyk7uUHYfN6CtdDCKLr/CK9lG
ohyeBwCQwSJuunH4FH+r42lYolqhNcvjCp4/fweo6iZOhuTbbKnfAsz0fpwd3FV8v4DIRVk8yrQ/
0beSC/gI/Eu/0UOeBN+b8qBMfFA6nr71BlPdUnp40pShNysTlDIvvhnYcED2GfLzuuBDlSDdJbIS
9HzygPrVnDU8K7WVf3tRouvyrjiOYY4tDGqp3yD7HXCN5gMxuQUqsCsfOsaGDZjk3c6vomI7RbkD
9rzdOLDcaw3L3lde8fHJbmbDulDcPFwf9vTsT7EBgjx1+Uz9IhJ/P/ZBpTUXeJRnK7pS4WY1bsDW
FND9x5t7LO/gWLq6Vo4+9dGNyPkVR00K/tyHJSZ0ZcB3LgF+2s01+4qFqDpdNCly3TcJ71/7Bq23
chW1SOqSb0Lx0Bf45vSen3xrsVAF1s35YU8jJHLG2X+InDbdWKkmUjqmdYJHwLywvWpn97Y458Dx
LIupbs/gQOMp6qSQWIHW7R4QHoYt6ZSeWAZmQgluyCNEgFwoj0/tW1uad02sl9CG/b4mKVR06Kw+
+dZN+M+kHNyncc6ex9CCONeYdRuCyMsWLhQKzj4bWhlSk0ZpbXhtEoBeJf7/UXZey3EjS5h+IkTA
m9v2jk0jiqTmBiGNzsB7j6ffD9k6ao7ibMTuDQKVVYWmaQBVmb/5Nfj/a+79yvJB97nhv38M+Vz+
hO71tvBsSBoC/mtQ61lgE0ArcLM09TF/gDr2B5LiBrkYyeysQWGPG0FleGBfzpPZHppGsV5njZRZ
1ZXPszVZr42NWkzueuOlWzrjGcmfvp3VgzTR8uYhPZbjVgZ7fWAeTb9E/2+Zqw2Z95C2PMGXVhvn
7kvqjyuZKR+1WDQP8HN/eQ/bzqu3bOcDi528nLmp/b3szfTk9CW7fkutlW1SKd7alyyAbSTTA+Z6
u6ZXrRO4JWudWQ3cv2XllTmGDWk3Lx4Uu4neBn6q3kUdhJScfUwTe3P76/Gyf26mwYYDFPAwNBzH
PoU+n5Doc/wlL9pgPbhOtC1Kt+xJZDIy9R5MG1mFMhj32F0kT5ifNBusQ/M3qnTFonRR/Y3a824A
hAKRpIs2DiDUn4U3orkY6sl7XCnBxsKv9ml0+nC/FC3Og2ZEZ7mm2+Pr3Siec8n9BI61TdZpdDv9
qFVkcqi0z18gI1RIdHDDaNhkhnoxPGfe7K+tVjs7SHVczQonN10vSzToyH2Ji5scNBOD1YUNpoRl
9dVL7GPdB/mzsNAHFZFCGFbPwjQfNPPWh4B2tYtaOB0oVQbb1Lay8xyY+rNtG/lKinS15/6Ev+S/
GE1QnhxnoJrstuV3RcPPgfKf2kDQQVXn2Sha7XZLoSjBOnRpyhdfmtOk0lxev/em3FIoILobNWyr
XRFjmr0ALcUZsYrsZ99ANvPuk8i7CQbOFF5u7ozL0CWkwSyC9Ov9mriEZCIpw/Kx1qKvnQLBz7br
IVzrTRHv2ZP9qx3xlFgpPdUzJd7nzUT+LZ9+nfyOfD5RCtWLWTIjA2DOD6RgcaLRQYIpanCVH1d+
GgmRB74Gsob0NUYszfvviJYfCS838Kj7oUI2V+gDk8l0NhhY2ts2QJh+HjRs5/R03pCSsYbbZHOB
njZxvZ2Dfrh9olx0CdVw0m+jfodk4v0PFEbVVkLh8m+qFBW0azWu2W4Z77wisDwkO3iQJiJVX8ni
2U8+To8QeNOdhLGbiM6bFMrMY2try0+bvMwA414mnq0HwEDuYsGZvMghRdh13cHO2d1jQO6fojB3
gP0yKw/j4lEbSYNwGwB+DnVlPVJI2GfVGH7xsMd9RD91SZNBsZCcT1ekzzCs+cLPZXPIFv6qkFg7
Z/wVu9NcjbgmOTWKUGTDUsdQMP+ZSdBS4qi/tfGTpKHqMbNu4WxM62/wvSUso0nmuZICUKEzR5r2
s1l4zl2JhbFaN2clULLv0Gc8UmXTiMRaw/+OXfhD6XnhySui7GBG9vxYOWq/MVGHfWsWCFWvWPZV
V5N/4GOZ1wlRPhJivrOXZp/5GBcEiqIe9cH9Yk5U96RDDrNvpps0UV/dwpufvTpZo2CfsNFELxo2
auWdbjtIbfD2vWW5ty0jspPB5pYJYT+zE+CsljjewcaSdyVNOdjp/Ct2h6yHef0rJpBdct5o3Cdd
eKhV0wKfSNG/8qz4RQ6+Gm8QB1Qfby0F0awmNJ+lhfVd8tIOpGjHAdXOe8zI0Y+puA1SqqK7KG6x
5l0O0Nd/nfWQ7oPIeohMkDuIZNCpQ5rbux5GOPexqRfR3ZcUAvLlUpYZj+t0SJeV7CJnlufpeImh
CJWLGtrUGAPm9E35PTar4CgaZk1RMi4Lc3XrRCDzJJgkk73rrUo7eE4UH8ySRYs2q/UXty/qLyO+
7UaJpk7KdumLEbEF80nWbaWzcnyUTVRlK50yCQBytLYaIzrKCEQbDbSQl9XL70tmrv+mj+DZ7eUD
lOVD+fdciiqHE6xH6spBLGBThW3trCtS5GenCbr2YihhenZz/F+pphKVgwRlklGUkO8cP0+SA0gS
9ZiiF5/BgkyjXR1l7TYyMVKdTWqPieX/p8ysd8tUQZJao71Ryji4toGKElnvkOFylf7FzUKAhi35
DHso191C+TAn511v8+K9qqAHyqTcPNgkRycDVlaDM9pTPFKLkIPacd8VKoqdRKTPZFe5zVIUcFyS
Bp+GakjJ+kWtXe+XCNPA24bOAEVtGesHFiBpLcMzCDDzl6JHEHNBgI7p+Kn1u0/goJNu/mQZxKq+
4/Zpkl5/hcs8IzM+xQ8jdoenWSmQSjOV4dkqom6tZXX+V6bpl0INtH9UUAoQM60fKmywFbxjgHJR
mu7mKi6wo+i7c9ANxi7uAFKOtRuuPVMfvjdWefAde/6KI82707vduqhZe5F7tr6YRRyfUO1Fem9p
yqFNnl1P0V+kcR8flIr5RV/GRxrZCemdDe9Lo6vZA2jq7dwk/qO5KOtZBYAJLQ0xX12aIp5XUb8Z
MMR+lJCfAjJr4iyklrF4jv6P3mrpvfnbLVdv5p5KftF8T0nb7uoEUGhWTx9eNus/8do5lWSzvxUA
W1YuEJqVQdnzUDs92oN5/TXJfOMpUKrktQ7wB13CDfbnZ8Xvh7VdR8a7G9r+hlyfxesArjO1poql
ChDkd4gFZBW0euBJm7sHMbaz0o+iHJz3Wsm1EzcTKM7F764aMJfPWrd55GlpPoOBfret8gMP9nfP
TOaPwoaQgN/IS+cDq4CW/bPCtuvDG50Mn1hY1n0RNqs0M9rd3F8zPbRf5OlKsReNFbPWD9LMnCDE
sGA2V4MRWl+Kwra+MD4fdtS0q4dEZw17avo02yRNE6/0FAyu/JJqCVtBAQi2lz9BSUJ0VXW5erWs
QX2L5quEqWL66A8xCQrPzuEFOkw7b76wo36q9B7OJ8J0+ZNpVtPKYRt0SGHeQJpxIb4vYxZOxBpD
FesmoB4psQ0ZSx32d0g6fwz33IW/AO2BPpbHW2Gmtmu+EeAsUNSKfsyxApkpUIqX0qNUl5mUsSTD
HKwUPw9+pAp3L/rj+olUZv0iEwOdeqOT59Gxqd365YWMPtWopS4FkMY4QM8HZStVKLMavFXLuupg
W7P1bIU7S3g2Zkkyze8fbvm4kmZhTsOD7GZnuzM35TxPsD6zAn9ADnLGZjlZR0ZkbO+xCoj0p17L
KUj8LDPuHTJY5jpLr3TIgQLDr3H33vuVVTs8Gj1JlKgYPly94w7yY0zwAhMYVVzH0ZfGr4ZLUppr
s9a6lZKZ9Q2Qns2muUJskerEgk93ahe9vqVXnl3SvPfK4P+Huchvgi+7V1FDHu5dCmLNlR1XiHLJ
egAmvZPyqozrXFc5DngmSwvXpASXueY5zhcXpTLPUGue3XF9s0J2VVRFEmy+6tkyrnlB2SftFByh
msz5L9tFiC9jR4nPLaj8K6Plj8excGpoO0VPlmaMkzdBMjXZ3GLeDmZRml5X8O0tW/esoS97Qzw1
eobxb9pOB12r0d1uy2+lnuMNg7/Ryna18kWKykjMGyuwOlAFl1Qeevj2zhtY6kovt80xaiiliNSn
Y+jdJsc2Zi1anxLzF5FPObjLWWSb8aFxjOdpqnxSNx56yqX92PmZx4YNss89XvV61e8k6KtjsUt8
LZnfRr147PLKR4oZgwIj4PlY+tpFZyvwxa3xBMa2DdUF06SkECgWnBY/ehC2CKzObO8sYClhhNwZ
JGVTnZb782I5VX4w3T5a/ZEglhyyxArX/aC6Fe/vueX72LG1gBSSvNyA7e4fh9D5lfD2WY4/1vw3
bvebwxLJ2tlx55ATQNzfKvGiqkv165SU3XNbq+VzM7RvEi5JaG/gQhzibkIuT22N7EvjBv2TV6Q7
W3SG4xDt6mJy7KXWyvuOp+K+tqN2o3XsEhGJdSzn+JEhEPS1LmLWODyPo8wbcUnODLS8abYZj8IR
hvmDRtkDZVv0/JKiih5KtViX2gjdVy2z4NHTHeVa+tNXFzjP8R5CCDF49B2n33CjDhsZJr3SYQwz
C29t+GoC2QFpsgyWIQOqRvIxMhbkRkCmlAObBmvV2akF3ZDmbVqztIul51Pw9w8pF8356nUI7NhJ
6Z5LW3HOc9o652c5vQel+b9ifwwxLVvnpkTd697h/r70PfbH9Vihjwd29Zeod/wVysLmL6njW8Yp
Vc0MRQRvKzmlW+yWbpLxYWSYt65bUNg9Mod6/TZchJJvc+4Zq/vnkOqedgh4q6umHzVWMUOwh3Bg
v/CIhJVT1t3foNXILLGutJEgUasZzzQf7dK2yI2HqNEysJOsC+uqDN6hhh0UbbaA/ZXpa6bHG4E8
zVnqP5g8glbSrCfDO8QZuWhpjlWbbKveYzOz4KPyPptI9MT2JalD5xTgZ7wNEEc7y8FVERQPnCxB
XJ+OwQ6QEZHg7fQ2KE1J+8upM07VGTGDX9Nv3W6n7fSxCDa8fE0oUf/dODltl2wgCs072SZJR6c3
Lw3c64uEwiQwgf7a6/ukdmABJBeazfA5AopykbdiEJPEQDUtWyvmUsO6tzupV0m7TAsKYpjdXNm8
bCRBHNbdtJf4PV8sY1GfzNZy6T+uLzUxt47JgVOu35OZ1dg9VPUuhO5NgiOxtOOseP+MdTU93WKN
g5ReqKSo44NBkMNkzddwsdyN6xIphFSOljUm6yTz2u2w6CjcgjzckFRYDnrWrkNS0Gdp3SbeBuqY
lvaa+11aQQQoxMj6YN3mpEceGqx1V3XgWtvMdqJwG/X2aFsbU0WR+N/AAgET5LzBT4NaIx9Fje7T
kFxXikNhaf8Ac5722JL5+5qH9hsqJKegc8IfKkIt61Cvhqvqj8HVmPpx7SVV9IO6+AH6f/5eZEVM
zsZ7sjU/ZA2EUBQ2Lt6ToURUWAbvVUJTf2gLL3mViJNkVwAC06N0AQbvVv2QqWfptFR21VmCi6H0
NpZd7zA6mLfSqzXY5VToIK6lt+IBdcHqOlzdLmwcgUyUvvM8j6OyHe2sucBywcQoMJ/KvhzPiLag
bwSO9jK6i4+xtPuKy9VL4ZLX4T5REmAruOKqe2m7KrtaqzBKAzlgcncGSj+rmtT+cXI76y1Hm3yl
8CUHyEIz7rtDHqjji8I/5iv/LFawhOsonh6dsfggWWi9JV7jnboYNJp0hmGW7suqtbbSjLqu3ASR
mhzdECm5JI7ZLqrJLsE9ZiuYlBZtkCt62uBbwKsEC6XPD6e3uu0WC46qO5tRg18kfPlPLPilyS5x
DZCyPt/jdigydUtvlYXJdgZ5zTr7v3Oz3iqPhjqee5DhVG+ibvp12rvJRKFwbA/AyI7SamEqF8fb
GFap51sa25i7cRfYQfPsu0m8b8ueDXwTkMy8t0FHGFffM9bKUjmX8rkcMiONTxit7+9ldYl3qeWv
yz7wNzMJh8cWTLM5sPdaR7iWngITr4Ok0/1nObi6b2yLpjQ30e9YmJKC75taPcgQ6Wir8BT3M1X6
ZVgcF/ahy9r/oFm1DTpTfZGDErCzxqg3A0Thztl6Uvz9SNnuKr1+ZXlHR0v61X1GmwIuQ/8ALeMq
0V6GCRLuUHTbONDjcxRrX2VNdqdcf2JbS5Dn0sXJ4ubwxzirs9wteI9qpRYe6RvdHatNraT6+q6q
DACPnk53Pm5A6wKz02Nleu6jszha1FHIPn82h7W1NCUmva4b/gNFsDje4yTu4P/E3loG8LKlvKGO
V5TMNPapeXnNlSY9DbXasgVvkxc7QXZ5LLv5hzqFm7wY/f942fTV03LrcegnYy0bN1kY6kDLNrHZ
oxKgAi29dxxDyrNPU+VdNAAnJKg862C2g3nFdc3bTG7ef00pOK9GdNv+1tBJA7iL5gn6iXuq7M2P
TtHx8O6y8VXpImyna4iFZmw1mBWGMxqKLLtilAsFaWuV/DXRw7qlEtCzQPIf2bY1CJ6RCgEo8+Go
+6Wan1zV6NauxtKrQ4s5P2Fhxbt2oIKujh/SCHlDXYYmclZVRioH9Uq9BWSO+2xe9i2bi9zv1lkb
A0hagmMFw3Kj3k/roXDOcpAgPIuDX0XKQUK3q8npbeLtNCAhpkfzg43QZL36dDErw560G8N6oy9Z
WATc+nXAm2wrqViJyVmUYRuqj+O6ldztLWVbp3/rsY5WtNUNW2dspm9uF6CQG+Z/834I1mXqpk+g
/5Lz/xgxOmmw1pMxfVpIl2dfn+21XrX5dURw4amuU4WXmhGAnqIpB3VEY0hLjBc9is1bSOJz7690
zSPf/DtO0n1cwZDoDjKiKpKrnix2aYsw/Zg8WOqQ3ATqJSIHN53tVaXU2s7mu+htEJA19pRuytWc
56O3abPxr9umJ0YkHFZMyQrL5EwKIErwP9p2P/nb24KkYwu3SVr/68Tr4PZqwZa+zDa3t0zmoWw8
dj9DFTPuHsGDlaayvgRqdOTWNU6sj2pjI/t0nmlHdYlpyhxoq3tWQGcwTy7jdN/szzJkmSFXiYys
Mm55hN9Xvm/7/32l20cYCixSnY8uygxfe976OsgclPbC9GoMOB8iX9Tc3vpwnE5q1VtvIf4qe7Xv
9L3Xp9F77yTHbnJRh9KrZ8O39WuUZB+35GQ/6NfYiD+1ct6DE1W9g+EFPRzfCi3y2AybrYrZ56rW
bfgBSWlUlyl/vOEeRsda+9HMslJ80FKeF7c29lMYUHW/+2+YCMvSf40XxASEp+LJ16+uYc64B8hR
9seyXTbD3Nsj5f0qoa6r5y3lkZw/CdKrEaBTNCsg4MoPco9JUyAXEsM3Ai2s3xgNq7WNlcTkB7jP
dZoOrTVxCpxxuDq1OMjtkzQadrJHBBn/Vza7AOD5xV6C0nvOphSM8g2ZUehss2ugB8JHqEh7HiAC
Lpw+QGParOlXUMXPw9KS0KT8DFxfeZEGD3mwSXNR3ugPaZiYm7DOkr2y6LLUWn9x55j0PbqZn14Q
iCxaDzGex/IeuL84Ag8dOXvgKfZHR9u8xEiqDrx3XgoztZ9H13wKnT76oIU7nj+RSmm96MMuLF7A
eeNeFiXc9wyruij6qJRGu0StTp1smdNHLTSGKFAP0ktJnzcnV/bL11sdrXUGM3lwmg8sZZU9zsva
q2X034CyZX9zm/w1ABR5naG4HjAym3Hc6L7nywpM89NiNbbsvmVB1lGFSRzNfAEE5rx2E4n+ZdVm
+bC2k8j9JnPQZzNOgzM3t1WbXoXh3mg997ZqI7OG/Gepl0cevwHLvw6uFeq/fKlBGHQD64IxIIXZ
LliFLMqTK/rdb/3S8lPEH/UkRZtKyZe1UbWPzCJ8ls4UadhVUdT1RZoJ6fD1gM3qQS5kOMqw2IfB
RMsL7HdTUCHyONRZbq+C0cH76vfDFfKaulNcqkn3p6hRhfUl4r8PIst8usedwqXG2lgPEpKndNMb
zoZ3fPEQztX3LM6NPbiD4oFlUJKw58VrY9TNdxnhLx2+eMCPbBQ3rKqcddin3302B/tbhwyUQ5+w
7Q1i5x2pWNRDb1eQyUFYfA+dtCElnAFnDjLI/ro55cfKB6wO3nXZtPlm/jxAk8Sudtknjmb6XIPc
YTlPSd31KEp7lXtG5Rzf+WbxiL2dAhgot8o4MqMLCnTuOHRiIXsfM+lYMTsR7y63T8+1q86P+MR4
ey/LskPRpPWr50zfkbvL/g6N+aOeWtyNQd0vwIFPA0SmpirHDz9N85fBy5Jt7pgYaiwHOZvgdPLU
06LwAUZhPGX9BXJVgPvAT+oHZKLz8UPLlWrr+uBFTY3vT+GUyUbRUv27BzOgLLX4J87sIDy9Unsm
OZAc7UJFij1XSjIJyj+61/lPkQ+y0HOCtwAl0y9AjtOL1SL6rsY6KsTsWhPsMBskM3l+DdZ4ohB4
lRiyUzjN/j443XCJugo70t8hGdZ6SrPxCkS9pcNApgcyxd42uwqTqTz5O42+9zhN/NSq5S4b/fiL
olGjCLDVOGqUP55wnUA1zAVnXdn9Ay5b5RcY90dveWjkGLwcdRQENtIk7V6j7OjrZ2lW/fc47qe3
HI2DB59TOGhMgmSA4wlmOXsZhRTcu2302lOY2CwgnPndj8ueoo3SoZTDGRWH/naG8MP7oLrGTuKW
qOPfh3i4DpUrpZj6cxYOybmL8D4MsvJQiWA16m3WCob4v9o5aYVN1AM97gYTmn/vaSvBdIZGOJ8t
a0HDL/DQe1PgoTJYeqssMFjnRF+F3x5jjBCzXGNLC6k8Gab+6Bfk3qVTDuF/R0jLRI3taBvqrxFh
2naHZIyBHwXzDzephrNjW82LEvbmVY2sfaem7YuEgALUu6q02809tkwqO3vTN+/6YjfQm903Ujjp
E8R++zVrcqzqsR1IlRwBUQxx1kprGu8mzLmtHo4wJEPN2cfF2Oy4MwuUZNpwp6no3d0s/ALoGniN
LNElMwECmUFiCC1nMTwDGyuQfR3j5jYiWPqG/M+8x9F32EqzWB7JVWa1R2naFXgHVNym622wO61C
suGvsB6il6lTTprfB+81O5ALjy9r5fnzQav6v30jUfD0gP/YTZ66UQrP3wvhsVciVLWkudAhpTnO
mrGadRUnuHNZpS/3BZecIWiO68lgzTtZwJniVXjviUgdUBunmJPWYb7rilw7V9lmnoPhu+3745an
SnsqYhRIvDT6RxZrpoEEshoF7jNmtdEZM7B4m/cs1GscR1yyDmqsvnVWpl0VTF6pmXnGu01Jfj+4
OXU7Ac2UCYJz0+BfpMkkuy/dXeQ3UAWWHZkSKsY1Rv1IWvdNmr+4HRcWS6ZbbCmsxdoIa4QKoo+c
8tEOLN7lAu4Yko2JecONHGB7Sr7W7SA8dtX3Er24fYk90oOi1v6MKxCn5MvbdV/36bZLDOVBYnph
4BpTUvc7oDHw/qu5jL6PUZxka2fdcMYyM9i5TtBDV+swRPJKMp1yqpLCAobNoV96/lds6Kg4pOb0
8sfYUq4iQT+7lFXtAs3HLxyjCcoik0p2PYuTi63jXBjrJyyKYUBaFY5rvWNdYj3Jn8p8WFX5MF2l
lUpIKfStbZXBRmKtNy1ZpJ5XYUfetmiC6jxKovbelmASzPxOcnobFNXGmqdLCwyeOYEG5WcFsvDX
NSRYJbsqm8bHsnOUVVk02acKqq4n1YWSzEm25bIPJ5E2IMbueCt52WP6meMVebm/vCV8b3ZBl28C
tKrW947b+z5EeOm/4GbPzKNtV6njn4DyaAGi3w830PkNZS7486Qu+UIsE8H6mjl1sz6MtykbbKdY
OYM1IdWXRNvPC1ZZtfYJOMg6daOtNO8HBw0Sxen9s4rigLPKktw6qWX8ModJ/YAhEXtddVx2uOOT
p7U/tclxj3cfmVbB9yN10NqVYWD0p6ekMR1sUX7NnAe7P5rAvLy9VrjJt8AuSBjOUbFNApYxjh++
55mr7YEQ2Ht/cMw3xU9PglzMWICtAT1gxGOPyXUaMdYSQRI1SY4sfOetEsbJ3o379twZs7puJ2f8
CBsWupDyhvOg6P0HZg2WUrziybEv9Wh48kb4rwu1NlHIrOYDuGHh486e9jQUefGy+HLxqk5nnoeI
vr4pXvsDQbJ2j+pBvRdzgYtpd8Nf9hLUq6bei7HANwlmI9Y7lQ+/Vhus9gFGtAJTDqwD0kgNi18A
PuHY1l/tVt3dQA+Iwe8HNTJuzSovzk5Xx1/g39xqCBm7HjS3zJNUDGK78p+d6728MDZmf2KJEYOb
5i28hnmAn2vh1lsZ3xjmiCe9WFlFVIAws7BPMwnfe4FUzu77QSmkSrNaUjwhmqaCEbt/pM5XbgO4
SAXVTOVDOhZ8mL8AxSREml97tIJwc58kEDO5UI+zwkYXoGvisieqwqFJ3rDWDl6gfNze3eE87WLw
go/y2q4ro9s7QeCtb+/05WUf/19GyEqgGov0wqLhcoMb5/hzl9701E16+jIl2bOEbSpI+xaTut1Q
oHmxsNc3IuAxLULbUF2MDmucPgZUIpF5ETZRGrwuJJbx8s5dTX1IgvEtWMiarh9F27zK9KMKdPOj
6x/mDqpnrYTdoUSLeCfNwuovVZJHr/qEmZmXWbCYl9kdaGA4L2p97VhFvSxXLcNved1mWKLziN6V
Sl0e2sBhfQnbby9+jZ3Tq4ibIk8lTXMsyme9xaOndOBuAzN6cTHxuIqbY2u150HIJOiFGli64GFi
e+54LGI2iZbOqzfVp3RbLU30Oaaz3sX1Snq1So1fSjZn0imHOkZWh537o7T4IoCnRThLnw3t0rXp
dE4d37i6VUnKLaxgXxXxPxKy9Bk0gi0dVvYN99PwOOHrg7+D8hoEUVF9hcddrf192ZXTX4Cvq/3Q
md3eSIzuL38f8Bb9i1pWtZ9V5O4kSkIr6P8zI2xtl47X7Io2cp5h8yIG69fBU5wW5cGKCmCFKn/+
jr3GBWUnlvBjEuyaRoUvuHT0djNc5AzAAZwDad9OK7s+pY4eH219CFCaX2bf56BqYWSLQ8EQxs6z
2hk/BVHjJH6+ct0AUTK3zs88Z4OtYHAsd2e4Q/Ed8LS2jS2jODUASE+9hc42uuHI+S4AciRgV21U
1T/GVh8hKqX+42SO5tHH+mMPa8b4ImPL7up3eEj6qoWbQZK5Fy2zsejMhjXWHePFQrfiYiwHe0bb
ede4frsC2gc0p7XC5pp6uL9pIcub3urHHg0LiGmqh2edMqf6hTW7jeSCAhLAac4s8DHqkg6jnJqz
tRz82jhF5Cf3kU/2a+36dXwulFlzsTvj1PLDFi3MOqkPTY9CKz6qZ3LUiNvIqeWlHS+vuW6PlEI/
Ze8NzenOk6avbmn8ZPFJDLWSjL6c/u6+eyRSk2cbKe0UzmIWzEiQeWZ4AA7xkRlWhZHJfw/scptx
Je3Jo2yb9lRsrP7zEMyd69uMqp2ytRuztvw07X4tOFjZLqOO0Dkp+m0xgGBE4ACCGxWGpGZSHAVk
00lmOfWy/CADJegv8OEbRGcZrapufjSWTLX0ymEYuvxQIx+zkg49tI41QO/TpKr9dVgObmDEZNRL
b5si4HG9d8iZHxanpGG3Kp1hqGBpuAxrVcU+WwoaDEtL4jJemp3GO2oOEKGSpnS4VchtGULzq0G8
PcLxf8NfAqW9pg4f5SDx3IIcXeIfBFbu3x2qWhyspMTmeOmQwXJmxGV2tfJrjmebeeuUuDPlB/ie
mBOmxuGPPK5sIdJO/UipSBykJYf7nqMLpg9s8Nz9WJJBeDW9KFvfMin4wz67jZNsgtmKrkpSBpfE
9cstKbH5g9v85DZ+9FPr2DIBFi1eKaJibBg3MaYAk/7ceaO+kiGIgJKF0ebvcjUSsfW6nf1iXwSO
tkF9SfmqzTHO400X/6xCaw01mgpNC4wKv1vju5kBgq9sQ/mC5gS2A0U9kRBRjaMyerwaSyN7TNVi
XuCLxyBkvRfnmnsWSkg7CVQw+tzs3BoYyrJXk8HQ+D4351obV1Vq9SeksbR1YMETwzZuLWwVgIfs
b6wufLX9INoHwGBOPB6ikx5QXZzGjHJQ150tG4NaYznImav12Tmd2eTnyXCtuv5XXDrrzkh3tUrt
Qpr3XpkfaOgGNNSid/fe+1V+f2DNdrNjXf7FtrGYaZy2O+KBEXyra1QskuE94zV+9rvGXkvY4lnB
GsKrH2AEW6/ATfbWIgHjjTjSAAQH1bXMdtPoVWnV8KWp0LowHfxTnWWYVSCW4E7ho+RDJLlxz4z8
P8RkSK7PytEpbRSNSaXc8iRD9xzOsUYlDRqJ1fCFLsYTFR3W3HbMmpE1QLr7I5msF+46STvt4R7P
U0T2luqkrOADS9lRvKtOcxJ31cZNaudQhO5Dn6SAzOGjwouqF15U3qGnaKXluLuN1C0bDbsRCQzU
Mqenym6fSea0Z6F2ySHP82Sr4927uXO+qCFnFxPTDpl0I3oVTDWXqRK7T9Uwd9jECc8A9me/pknv
fdzyqa1aHkokZ87CqSv9EGnaOCkfpFn/bgrxKPGSX73S/NS7cIbFTec+VwarmV08CEvpPjjRym47
qxO/3eIN7LIkVvpw6y0GwNbmUyPc49uEMbgbU6Ij8cD2PTG18/0wN6H+uclPAULg95isIGWE/fvf
s3Socx9t8qZyIASq1CieQ330TyYM5g06INNfcTA8qB1C001c13vZqv6xc5XNb7ggmaRXDnaTpdu2
9VBd+93Ry1b53paBMrmtDSRiQNsiVInoQL34rGFb5x/YRDxLS+JiuibN+4jeaJ+nEczD6t4h45RZ
9w+9NT5/MmyTIdWEYWuYOkeyQa+CVrcX3DqvO26MJmlJxNEkY4v9rFO9SksOSDNSGpkxypZZbdGG
D8s17iPkGuiC/LqGjFiucf+U+zXun7JcA3KKc55K8z9qrgWvXup+tQFBPOAKF75GFQT7qZ+rnXRG
YGXP2ITgi7T0SkwBqVlQ23iRkMcudz2n0XzslxE16ndkzIDlSm8VFs1TtZge/p4ON2TfWNADF5Z2
Wm19Kw//QSaCuhMW5m9qrJkUqVv1WihTybbLmwAZlfMjNyOVWC/T3uN5/uaRMjyZSIFUP5oAkmFK
tdtw3t3CJL3l+tNflUEVf54SXNbRPG3nGDWxeUCqh7ij+MTTpjyryILwlUYzQDP8fCeYsDSG92lo
Gs65gjEjD/avtvS79uCtBVtm5sFLaDrxBjTLaK38KhtPUxk8m37BjdNHPY+40n/id1C/Dk7KTrm2
jXXa1NEP27N47vf2u4KV6j4duuKQxVb4xk72QQa0gPvX7ISxH8NyB+Oe4Oi0MFRc/k0PXYhBGeJY
zjZ1vfrNjef3YWqdn51hH2OzaL45Sjdt/GWoZmfzeer8T0NFK/TfQ3llRqeO3EfBl/LiFm25Vf1S
+xggQSRaG/90HSOAddzlr4jPDXvXn6MjLCPzGYQOSkjLkDJxV2nojN/z2UpZ/gzhlYVgSK7oozHz
fE0dB7Ce1Rd/KU3onRHrHl8y1f0/lJ3HcuRKlqZfpa3WAxto0TY9i5CMYARlqpsbWIp7obXG08+H
A94MVnZ1mc0GBnc/DgZJBOB+zi/Ka1gpjxZv/hfpUrBj2JWOHR3+npDvgeCpjzIKchFpmQL4edGr
OTu40VI2VF+NOxk2DTtn//Ftnap4WgiyCpsaGQxaNFUaatQHVPaju27WM1AFWvzY1D3PhCTt1Uvb
oKC99GH+0JvrsOrhA1l5OTbGTaTwLOQWDo3ePPaIir7FRJmqstqruKVuE+XHKD3SHApGOyHCdBdX
VaELk2E62VOCbPmgsS9fsktJa5a7KreHveIvqMNcZb3qAi/3qyB/9EsMBGOvaJ9QfAr5ungdjk80
J9hMT4jk6EdUXQFfS/PXQILXtQKXBifPJWzpD9QIXdoM5knsuhASVW6gS+5YZ7nSGtc3oBub3AVc
33deeqgm1z9r6uyfO1ShYMEvbXTTr0NaN6xOfvVFRvUWKNES9264onKo7GXodih8Q7W2XpPkyxco
hZMTsbIvE0fF+Vq33LMd6H1yCWGS+dzkRx72WM+TwiARwYt+O+kxAF3FcK5yFmm2jwrT/HrrT80B
3nnIE+Pa4lK8ydJsPNpJbsy7eOnUtGmdIq13A4PihhvL84ejjMgVh46dkF1QxyZ5FiOMss2KscP/
PRyva0+aG8PaBuKRO911WsZSiZYxOfRAGBmTebded+5K9ovevnVTBE8ViyIrVvEvrVIFCAMdjAJG
EsA55IP9QIlgKS9tRe1fy3q0F3sZ9UVFYei+GJ1vTYjwx5aNxgRutGmP8bCTTI7kb/ALdY8Grkwb
SfqU4qeGIsjj1HbtvYS0S+7H6lr3mOWh+k7OVa6yxLZl+hYLif2e38W7jm3S4ABmJ2f5MLo1aA9U
ck5x46sv0jVYMM5465iwC/m4AxopLyaWVIldYsW5dAUOgBIXSOvmNosy7I/G/Jm3MwUcPfWf6yb8
4rWT+gfJDX9nDTYqZlNXfMnij0UfaH/0jcYztYGchOmk9gdJDsQW0+pDPpbzRYuMdiuzfaOgTgJX
7iFPu8fRRY1h2KxoOXK13JiB457ZQisbbeG2QKN8a4rP4q0po7dgMWV0IjwQ03qGjFnOxjFLW5XS
dAfiG+7YN8Vs9rwJ/T+VeELcfM6/lEGAaMiQUn1Leus0opKyLWaAEjN7lXM/WvU1SuAZB73lfLDT
otkkuhf/RDJg45iF+Vcca0/OoFR/5JqnbStsriBUOerR8dDGd6wGPr4TdGfefMopSM3297MEvN65
rwPl9O/jWC4VhwGZKdy6tfoZFWTYfd9HAXW2fro0wrIcr6z3DVb8QWMZiFehVAzm67wWvdZj07qX
Dsvjd3gm6xf7SUv8S7nMuG1oVzzUMpDyxjl4qbf8t/wy/Ahv8RDqgfVXGmKoSoX7m4U28ba3uuql
LSL7oIZWcw9ZNr/klZIdNHJbr7PvWhvVJMO0THfAPu+pOOUH1Yb08RNX9RcbP4pi9qyTnfsThD6a
KQKXm5RCwAOruxpZ7QVfvFTJbgdt6F6D1gF8v/SXqekfMs90t04AysMCyrcuym9NWe5Ls0rC6Cqy
A7fmu1GK0FdZ/ctoX6h/vXFhG0eh3u1knr/PXdM7Oyk0ljs5TZf2MI1oUMipn8XuW1SAbs45Kdks
xcb8PGBGkkPapm+wQv8MaMM+FMPw6gwz4g3LwRwTFvlyqpruW+dtWPoGxfhDL1sdI4+/p7V2BEvf
DDBbrFmVnNEBwbfUm9v7MWntx0pJoYCPVvYjctgkqJX54Dn6d2C42qNrKkhAupDObMiJNmBWOoeB
rVuQ2O6hHkv9UfrkYM3Bg2uzJ7eqku9NPSr6g20/S1T7KxQlYojD5vz1NlsGW8uhvFjZL0VXkyD9
G/aVtHio5El7WeFm0lwiMmyd2wLxG3haIECXg+w2142nn+YU0vr4IH23kLykMra5tZGGhu8Fk2cv
gRUi2JSIJw9JMB9cpJsW5llXYRq6eZHth8SvkZVP4v3NrRrsiPfYz/M5L3PlHl0hCDkxjn13phaY
0Cx5/P6Z4eA0CIY79Muy2gwLfFsO79rvTmXIKfTiPC6yTyOwHW8YdoXpx98XH4leAZpiueApsT6o
YKUmzQlD5Pw4arr2wez7nxLhODCCEIv/koNI2edloZP5zLsHR9OUraaz1FcsBWCak+ZbOG7lBXJ7
/dlOFocnGFrGoJ3jjL+ENP97VASN4AtSqW9R0SIlK1HU5aoLmGO5lnT7g6WdcRsJEdTn0reoqntK
obGdkmiIXxQAVlgdaOF3NweAY1NdZ40azWcURNp9n7TWt/qjGiTRd8NIkAfWDfdszrs6YrcP/RZa
nBN38PUW5p0cIqWFmJ0q3v7WR44Nht4SLX1I9IJLlMC4T/29XyTOcSz8j/+jtnneq0C9ffiHN11z
OUPINbiuCulRhWaMxMQLqqgbgvreQDYdcafUGIAJkZ8OD86SnwZmTn7alCy1dISSxo5KcOwYTTo7
DGjRuJeMdbIkr9cJjq5BqY11HRh1lesXRASPSt+pd1qtT0Bql3Q5AlHkyDtQZ2gl1Wg01pZ9B7uM
9c04feFFFJ9m1CX3gYpAoVcleIW1efqAHuz4MDYeOQqjP4YD8veiGSKSILe+m1ZJa/lvcRIiwbc4
6ZNg6ZvYJJD9W8Bit5jb9W/XigdsDMus1Skmol8kxDDhkM2JFu/aHIq2NGVgJY9Vuqpeo++3ULPy
s81oBdmhm9juQvuK7XsXI46Nr1jt3gYifC99ciYHFb+s5iCnRqTx9buFB3pe1BsZ0rww7RZJtT9Z
plSHcKmcyyGRSrmcIkLH9GnRdAPx+YGXRoXnK4HvYurGJ+Y2Xc5kipz9mrdOYRPw9mOcbPxRjLw6
2AVy/8qtjCiWc17wB3KLS9c66qyo2+XGh0HhnDOIT+t9v47zxWrIwuNX4xhtc9/3JADen4628VxG
Xn7U0Qy6lxgjzAr9IqdaaGfnYIxmFhuTU3v8VcKs2dS9Hl6GqEVd59eZyzpYgUp3+q0/lhm3uNvc
2OO+rYYllfjrKrc4JSDniBzLP4lV5DNSIIt4hZo2XXSIFcc76I3yUvwStHindYFeFOFsBMdtL2/I
kG/E7neGTodB1D2575WbIwSdRICXnYZfxgDgdS+dLnYU+zf1dqjr5bZRoBm0QZ/fSaEStULrGBp4
k0hzKKb0SiLyuzVn/Yeg9OMP7AllSA5KpX32htm8SkuuFfnKB9XVjH3Xx8pnuyq2MUjzr7Cm48M4
Wfh3gsfEiEI/Qja1NtGy6QzjGUxvzG6Uh5b6IH39siVVQELscEQe9pHsRudlN5qxG00Q7MWlfNns
lp3WAZ4lWuZNvy7t8QbHksA66aNmPsqBX8DelH3PjbL0OVplPs5tYD16vrk3vQoNgl+xKTIb9605
3t+65MxISYE5fYfl8xILRKbEOMvqd7DwgEiC+NK36MBNOzR5xqsc2jiwLnmp9eyI9WgjcvBUqfs7
A2AyGQFs6fpMy3axPU4nacam93nssuApcuLmk1Kcw8WdrnazDuSdU0VfbTci15ihzTwlFHN7owfT
7nWs1MzW4X3LYarjv4YoNc7Skv5y8rZJ7rKLWyahBug8kHHYN5bV4iemw14JtQJZs2W6TKBmPB4i
HdlFmeG2PUXLJLTY+qd9WJ3qHH2wDX7PmKUvh7VtwCe3FBjkQCrzdCcj62kyhwUr7Mo8WFX4M8FY
kk3K0hcRdDDLXOethbYEIIAl+ypqr4FuVbsmRjzt1ndzOxB9WAmplpDZzrjH3PElJHt2jl1YqCLp
DS7xIziV9DUo5vCSYWKIlCP63L/6UweZrX/Rj8pWeAnb5KEcA1TVHMi6navvRQz2JhDbSGVV2qbn
a7ip8d5TQMAHx1ukzPZZhO8gD7jkglT20sLJ9MBN6u3WzPneMBOMrWj0wDagYpGa36VPdHp6Efmp
fbC95qRf7LrSd3E5mWdsBH4UgVd+C61yPYn/Pvk1tJzgBVZ9kx7dyr9aztfSH67tglBM67p9WlqC
Zsz/qfVrLIOeufX5O51WoIKRj38pqOPjQ7ooexUxarRTbH4RLEPk2nhs5neithjrSC4CrenqhUHu
p4D1f4kr/t0tMRItAaT7JXocBvKn//0CEtmM4BOcIv+rTmZWriYURNcs0zu1L3Hh0KbpXs5MI2B0
jcFtIlW20t3kiXlXDAp0FcJ1JpMpSXFbxW7v7YLvJkrQ7XC7uvRBsEOMNPsy+W19jlAD3UkxrY10
QIYVEtodHo2vulpepT8cMwWMUBJyi1BzMw3n0vgI4bP77x9qe6SOv/QnQV/vjLlqzwglK19+SqcR
8okpch9Rho8hLrKwZS2NlYXFPmQBtXwu9I/SnU9QQhLoz+vvKx90/cXkdP2z3H6R9U+jIdy/dQx+
IQnqUWbaa1WTb7IhGtrNPJj1xYgbVzsYXvVRmWr16IZRc0lLdic2yvms8w+ooFivuCOjdW54zgb0
jHXCpdt8nWoI6rljl1sZbSMIDl25J6Fve/UWQSoEwC8TAuMXzfLNre831rY2VFSDfw3cmmkezM0G
Z5X5zgm0c4Cfsb0t8ym4/3enLqL5oJmHuNiA85/Pc7eXLnvplzO5hJxVOsKnaHQiDTSjyf3Gf2mi
Awg65SKVRqlARkZvn9AS/2qaA1ssGegNF9nJoDT2a2eRxE9m2WJoCxq32qHQu8njXZ7h0zQjhWFu
QoSbH+N5/M6vHpyaMU0fq+Vg8VV61NQaPQVrsZxfmk5rgdUu8DHZJ4D5KFQ41ICn2MAV2PR//DaZ
soINJge9xwQA/0ZG5TLV6G3lE0gXKZsTehbqxfD08N4o7MXGQnvqx0LzN65v7jrFDx9aaab5nG7L
pEyPRearTyYiiE9ISFlgGdn59cs8mZzmrv+AnM5bl8wty/Zb6gzlWcLk4JL/2MMj0Xa3Puqp66cA
JbNwprxPY1Oj1esZ+TFeqjY1uglp+VV6MVz51WvYevE1UdH1ld6ujJbYWe+VZ6zM601TIPDSjIP+
tezra+sEYBkKhPtxk83+7CNQCKBQ/U95p5e7OHaVx8juPbzuuvoc1qpzcfQa3AXOA69yJbNhRZn2
adVEIGZBUodLySTBpuZgKm76ge1NuljDWD/bYt7m3Wx9GxRWCl4Wj4/NIrobxf33dmSjWNs6iqim
DYrPiMrntOgQP4pQuFoKgriuIO22REjzV4S0ZNKQGOquyaOnBlOU9dFQKv4ns52zZ75+w3OUhOuj
QW/xRqgj1TrIRnks7U9mVuXPEfDQ36JQrrJwP8J9IYtTVmPLszzMghctyRu0WmhJl7E81imevHS9
X7/rz3oUsJoBs4FhMRWcpsAedoPdjVf0hcerl6Hhmkc2CU8UJ/e4DI0hBnvOcxcYxbo/uW1A3m1I
4szCNUk2I+tplixmLZS1Nx7O8ZsJ7vtT7ZK3UyHQ7UVG1Ex6Msi8axedUbPuEkQSwvmIg+q4zw3N
uhsWre54/KaNo/E5cmfjbPdaAQAKP7nQ5h3iJm1JAVFzniMTgM/iJ9cmFiiBQflg2OArDPJEz4m+
KPm4pAC1LPCfVX7lVfc0RaHIn38iuvAWGXvpWyTKQsBXTbKOgjnBocJt1Z/NvNNJN1xX3sNKcdA+
DXaTX/FSgxkhTIiV/6B9Cv0oxwUFhzxE966CKVDNr3HhVI8uewl/U7oV7wnWW8cVoqB0gQXeasnb
rVq1cawckfsEheHZ6UXYS+DxcaciefESmal2yuxhPsAoyz6TrLnYpcWeU5y6UDUgL1gUnzMIxRcI
HeoLN0Jx6QvncyCEeMxYrC3yCM1RRm1LnV9+yqkcSNhWIKgSZ9s3CaWLRK0+k6aBCVkrl9gEcLFJ
hjnf4toz7z0lKR56r3O2g9ovwhrUenMSOU+wHcMHzTCjraz9knZ+G9CpdjwMrJ23Zm1GmMIuerJF
hfp+7muvVGrKDTLUzs92IOlfpO13BQbdto8yKpBBaJ4KbS6OEWu9HazMeaflw3BvqmO5k8eLmVTP
emA4r9Lfsr8h6UPB+Vc/GMsrymL1D9dM889l0Sv5qXUoUjlqm18BSyOctsj5kYnLr2MNDkzKBv20
sRCOeQAo4t8rLG8Fx/U73GsZDFxY5wsR5ob0igavPKMokaFwtR8WbpXaUJI1cq/ECDWP78Yyte8a
o4EXjPQcGjLUel5rv0Teaxi1B8e17WtpUBpVWsi/GDEera7oPmNn0R9rNJCWe6f55BhAWos5fwJ3
MGz6KS12cNtNoOq29lmrfjSzilad11h3WTBOVPFoGmgqkTB2n4tFRKr2+2qjjRFg8GV2EyFMZEGF
eSPtRpBQoKh0d2uWVbXyt/ZK+uXx/dZ+F68banenZ4OxHdtyQhAyBosBJH3X62jPOV0RHBKntg8T
hpufjFijDMGb+CSj5BgSlNtz6yqjTmzeGX1SvmSDYyO0fSdBkK6cJ62qHqVl2NEEpjqk6rdcP+tr
cqwp2rs5vIjOcjpsG7zsVf0BQLV/7ZeDmSNvqaNTdZRmX7szyOziq7RkittEnx1TDXBRIx4IU3+M
kVncRYVn3OH+RRV0qcNVRgF9IgmrrdTrpE/qcINnA1lAI/7WryihdlhSoKsto8TKaJ4AvF1ipStP
fTC31cTmn7/5FuT8xyofJ4xZwTPgMRyvTTvCE4rKwQgiP/cfrLL5JCUIKpT+g6uUn6Rc4YaeJ2NS
rbCWSIdIQR/9i3nLVSTSLyCuWtTHDpGaHWX5KItGX0Gx3rHD+CLLzNAPg6OXj+NORlmVpk+z8XnQ
sRRehJTlUCJrffW14XhL+Nno8UnXmu/DC8LDyrw/+rWHgk1SpHepXnz2F2ZaGprDXd+OMShIeGtW
CIS8CbWazCdNCLJ7s4n6D7kZ9U8WlhJV9AeLH/9Pd/gzAbrxM1NwWwpnq3zFDs84RODY79kAofQW
WItzRdp88u3yhxdP884N7GaLLHgBfBX31ljX7KMjojPgx/+pLePpMt6lOl/hCrrI3/TXue6LjRDy
qrBrXvBQ4elTTlfpqpUCecVYfxUCnxyCpfJKGhJd2IXntx7+PyeVIcXGUdi4avjoFTMfJ4udfdx0
7skVvQO9c9vdG0O3B8R9cGKP3V3RVgBXJuWjBYda8r+2a5snVHWmXTOxZsGMIZo/1SHowJTE0E7k
T0SebhXe66cdNVrclm3DOsKkf7XNwrlGi0CXnMGbcq5txcM/LNtp/9uAhAzUWfBvcnbSyjNc6tIR
kZB0Mu19iDzbXggU4i/smQcERxoQPvAttFK7aygXnjUM06bNDSI25v7JC8roLKCvWUblVKBkpAEA
94//NLpeYRmReXKpwYnVvYntK6t9h5eUqoDld6o+0y9G/2Pk5Y6IPJlPVhYs5g05XRKlrVYgBcgm
owG0qW2aAHp41k/6br2ZpD16hr4rAHCrx9v4ejMNSf+wCl5kowf3REPII+hb5T6eNfXQJWbwouI9
ChfXaP4YDPclFtVo/n5JYal/+U7/h4o08Zc0zOF311HwnGKfdxwHZ7gbLf3HPHavrSCpGrvBXITm
+j20Yt267/ThNSqV7dzqq47Aigcd+Xtt+F/ybJV9lqvE0QPOteuGa+1LEyxbWO3UCIwbgC+D5sMw
jurnbsfz0/hMsU7HMyPvgJR4xmdMcNVDZDTGQUZrF5stM7SAjVgdGG2zRFOh8yKU40zsBha7aVOb
wnu7xTlW/vvS19dxvDFsYPLSNFTnLUSacpCrHIESD3farCbqsQ7tr7M3Fm+oV34TjfxXsq2SbNxV
KUJWaFS3wVFI4HK4jdz65GwQiricah0GCYgdQ2OKtLM+OKc4hIvluMafuqJeksoOfuYJEBgYnCDN
ku99quhf7SpHY6DPkz/qACr83IIa0xqgRjDG4k+Bj5TfSGL7w1Dq3tbuUqiaOsuNNGVHNYc8FrNy
fNA8K3ugAEb5tQ7Mb2nvHtNsQfNBxI+6Wv3We6zL9ayxXwAujYeKD3xfTDzj7ZqSsFietUqXnBR9
vBM9MumSQ7a4B91M0dbYxUxI4gbTyE59mtyJppl0Vcr0KRzcHupM179OUGW7BNtpb7F2hPCU7P3Q
ByWwNGGUx49p2J99yggIb4GappSskDvN7P4VPb/65GtLUXm5UkkWhH2isbh8AHnVfgFdb5DXoHL0
ahODwTuYbv7HDfYqZ+/iEu6rFvGN+RMZE2PZ4XmhA4hUCZ9lS5f0yOXBV+N2WHaE0qcjXKm7c/gs
XdyoSAxmvPpkcEJQ/QLB9hOSqvmHyMln0k7w5vuI95Wr42Y7sWYRPlSOM8sWjER1Mjw1+xCBfz2O
s5HtFHVQDnplF9tCCbwC3lekXZDYPfhzEJzXPj+tX/N+MB6dTWmYBcI/mYWFhk05cFnD2Yb2V14V
A+hGY34aLOtP6aZa5vGUdvSTkRfhh76qjr/ZEFuRBtMmmOHwLnVrOSCH0z+MYYItrvXWJf1ZGeiH
rjbSLf/8HojaYlHjkDO6iAzY6q7lqjUOM6TZtqISFlgRT3E7zzcd4g7Uz2HWl0V97WYneOIpGD7V
y8EsIm9rWoALZED6ZDQCW68u6I4lXi5hByoPCAMc/2/XSAr1+1h42kkmyqChDx+R5DPutB4mTuHi
4Cd1mfWQWchiLBIackjsxgFY4pxuXXJ2q/1Ic7D0v2r/Bcpwfrfu8LQwmY95MLqbFWGujVP0lJs7
G6OxZo9GDAKQS3TvNMc3y06DDQy469x6HZrAfo3CL23jDy/Sk+bDCLqiGe5kLCin/KyULonwAITl
uocC+zwfbpCPPJq4/W9tgXq8A4e0Tf6JolNwvIXoI3bLWN+kJzHEQwfSAor+ipgtejVBEWDJF6oX
Gct9Z9xN5dwcZTRyUa2Pwgm5XYDjHxRLrR6mSFun1pNWb7JmwUKPgblFRyKneLN4stjkNE6Zm/wZ
oovR7EnlAMiPlev6N8Q4c5/OaJvWhWZTfwaok4J5fCqDsn6IYa3f4DzSr/KbwEEj1kMV5F0smZB3
sf5ijnuLncrxLyDewI+RmDKKB7jY41GZlILlISldzc9+NMFYPdVm3L2Ao3yU7qiO36IE96DP5fso
Q3+U7pAqhY/o3S6sGgNZn9E76z4epCxvDfATZbMl411+DRrzkiUY97X9sDN0Jf4RFu7MlyMKP2RJ
5+7xIiy29YS6JGq27YuNauMp7LxmsZpoXuQw8nJl1dGrRzgjeK3GLsRIlK+f4gXN3tm2udbb7JiN
eGzO850U3aR+JjW4DuDqiH7XrXs2/QB/5P6zBN36i8hJ9xrmVbvbQI/V9t9FzarxIcSVhbvzQVVs
UUDCAHHAY2E906LpAYfYl9RCLvfWL4M6+5B7n9s8NBcHBumTQ+zCGe0c/S/2tt1j7oBULG1YXeSZ
Po9qP9+Tnkm2eHCUn6sRXVBbiTDbsJviMww5d+OkZnaR0WA2D542xc9diiantUsLP9lLimYewp9W
WPkn4X8Ip2SGfXmwHM/arnekGyj2Fd7GOkFC0hHnZQXZYsyOMZPKbd+5ylmkFO51CDT0m+LZvU7L
GYkH9/1obH4i3xRsMak3v6BEshO/G5+16i6oR/cyapX+6Ppk7oVuPioYA9Za8nFwccPwm9Y6BEC0
t3bfOidwdOY2UBr/6Ae8IHkttJcBK2V5t8o7M4rmjyjR5VdpGYv/sjbCK5T3q7G4M/MJZEwOLoZX
wLPE1WRISL/XVnjs8854bpeD7Xo5BtmqfQpm3qDbJjMvDXDf69r0lBNlQP9JYq2Cl4dvDQeZXgDt
fJ7LMLi3tPH7W3i0+FmTttxqXcv2gJzUtNdqZKP9abl6qvjqVj6BzLar/vNk6BhQLCXKjATZ1mnL
YH+rTkpN8ta8hbhOQuJTRoDaUAmQeqerNdpumit9SbL1RvU5TIdn1ghkpOvpjIl2+destd/ackQD
qTJ9ZPkTExGwcsEq4McZ2VVG+RVCSZ4b5QsU32pbdg4oKa+4aPNQ4zRImtdmUWUd58n5vaI9DUW0
SwIegvKduh3grnxgm1idpUu+qU7AX9Pwf0oPBR5EDIMaUz999oqNdNaOshs8HzEsY4R1lc++d9en
9dVYdBCRc636zXq6DhuYUvbcD6iCLOEwyKnSxShmB6UTPhpzWG8UpdSPBgKOjwM6feZmnlC0ig0F
97ilcw1czgyqv2dFz5/fBctpYyH0OCft9RbruIp117jOR4E0CYQpzgJ3O1Bz3uYCeULgK76XYTms
sCZBON3mvINF3cLXTrmmhGcN8t38Yt9wEP5pyz4+IuuLgu/4U112+TEal4g0kWt4GLEPkYE1Lvk7
zq3m6M5Qx5/DL3nglpvlqlE4vyqR8dME0niUwVi0heV0ivT00rbq5hb723wnxPLKKnPcwn5deIrD
k4bO3qVxeuURBxN5Rt34aV1YjZvS8su720DD6uJYglvYSF/nePNjlVzlXi9gk2DnNb34VGits1Er
NLXupca9uTjaYa5d/vEf//v//p8f438GfxZPRcoLP/+PvMueCsTrm//6h2394z/Ktfv087/+Yeme
y3bGsXQdNS3XNHWV8R/fXlDIIVr7X4CixyIK8vQMtjvbW1EChc7lS77kRiWDLplzA4Yu6Wr9dcTp
pdHT8YPO2/uEa5i7x2Z9/iYHypXunhSFdorzevrgWTXyOgulVdNSFP7L6UHzwYfXw4g0rhmr31A/
fRnHTr/Tk9mGzzZAazijn2eeEbS7Lx3yetiXL64C+IRvsKb3D3auKjpWf3lwQR3yQEmbMhLuuGuG
Lhh97AIqGOBaHvVgJZZmlCK3pOIU4RRWvCUVEeNYwSGZ0EcHVpYegTska180RVdb4f6XiKKa7YcR
5+PbJBCk2Z1cKE1xnv/3/w1X/+f/hqGqHtLsZGss1zI0/h///N9IE4O0C7iLc5qA85msoH5K3bqm
YKg1O9x2y730yQH/CO1aNvHahY4crK0O+LVuNvGOiiv6Lmk1PMKn6dcDhhw5WNGC9y7AasRd0nAA
pdxpxykammjfNtVPdHt3bzIfpdu4D0o7BttQJbuMKBb0xlubQgMVrDloHuvlTAb0ivyA9Lm5AxCh
a/HWk851dmm1OooBx9QyfKjIbBjXLWaOYsZcvG04lZZ3faoZbxtO5AJjUEf1WUJl0mQ2bDrDzjjL
KxBORXO6XXLt45Jp7dlP0pJLdsUYH6SJnl/8iGLRumeV68olwUob64+RS3q64qPxxqZX5wt09+//
1YZq/Pa/1jzH4StHmtiwQI6rv33zFMU1MBvLw7uoVLXzmLrk7RvcIfQUDWAcDNxdG07gefyCdJ20
py614ca86lNsPXRmiWFeg3/uFkmrer+2vUhpLh7Cbk7U/R1TN/wXxhi9XCMvnYcQ9PddrWUDmfTE
+zB5yVds8uYfxpx9wETJ+zghUnYwlK4/zVVgP/Os5xnmduqPoG3hBoTNH35IpXAmI3mPlY6P8EOD
cec8zD+Qm2uHKfph+7a3zeouf9D9Eadx7ncoNlYNpRCSn8lPS4LG3njWoDzNSZ4iSo+0h+mlr0ij
BmcDMtyjHNSadEOYJw3ipLMLhxb6lvTJ6KhH3aHrjGBb93272B4yLyzIRuBrd1378nFhXva6fgqG
sd8lQxLx9k/RuPb1ljwUtz78dNRw5KCTU2hstrXSmp1hvNrWeH8TvLaQzsNfmaf3epHRpczcsIjY
3y5iFWhgAEGI1wunVVWdyIFluAnGGslBnA54vGuUkWKtfMhSfImGRC+xPanKh3Lpa2Gj85pz7T/D
Norv1mgZMdv4s+90wEJk7jJDpkkTRu6jMgDkk671InKqFc5J61sDoorBhaVPruLpxqfCjo5WH8f3
/QxgYfx10O0CSQMU5cESU0b/bUCaYdDCoqmAFUtTZtziTFsxThm6tb/135odSmeOh5vZv5o+2BOs
sQwApExwOn3ehSGStTeal1o7O1cJs/sAOVoK5UIQW2hjy4C/DNy6VlKZdc1ctpDqV6XIxm9dVFmb
pinHR81MzWtduf1WBuZsfkCcPv/oWHN1its0QU+uzL4hnCnjGMR3G6007lRERx5IQrYPzuhwAPy+
N0Hlb62l6QKIMBGhp6StApw4WAHI8p3MUav80cAr+2S6rq5tJNyK2JGDclouJx3rmF/V9sm026c1
SK6BF0F+gM3pbiS6h799x8aY7D8Z3fi17O8cHeO9stMvDTlmlPxd8zkxEBDSorURk7W/Gl16kqFu
CbJ7vnwU+jLcz2hKn8n+i9IibGRpyoC5KDrjpZGS2iZO+nSyH7jYD/l6PbloqQUs0xbIzvLTJXaI
QaoF7XNtzBZIZGO+lgHCUzYQkImsZajoqDl0UO3wm52xsI0r47H3VeNRzqrMnDe27k7HCFk6GygI
w55aHJrJMS9rn6PE7SVlAS+Da9/QUKCAdAtsSH6ADDXWqEMixv1Bmu9+SkpyZEzq87j8YOnP5gHe
aL/4snkAdpb+spjIB/bhz7UPeOf1378idNf77RWhq67r4dfmWB6nprUsF94tznje6w5JLOOI8ceC
+EptLT2MjdmVX/xTPFbDGRku/8lUECNthyr7YarqscLa6Ett8iqpivl9BKme8UuZYWKW15rH84AC
etWPaLC7DVzghZU3h223lVERnZbRuYMpbOWq8S7Yc1D05av15M5Ke2iiIeJN5EIBT6Zyeca66MdU
o/4cL4fRABAV49V9J31hVH+Khlq/H137ewKd84yksf68HlTliAN7/CAtCZczuY6WtAwQgeCO/cQq
t7zXFq13wwu7ejPHaEVXira8E1F9byaVzvV0aQcpDJp/OYJKozfr7wOWeLnyvFxeJklTzqRPmh1r
z73vB1jW/PoJKGXwnn33w/6na1n68EwJQT3errd+umXC+w9/+z2KMG/uWkO7v32sdcotRD5XmsUn
PQPiF3u2f2WbZGxGzcn+cPGi28K2Ge5BJDqfJg8kOQt71GWm8aAt1BRRWXqnvbSqLvGEQyF42eLd
Dsj6GdvJciv2/BBZZOB2idFDneLw24jVN/hvdoGz7eD3P9m98QNVC/806SWub5BgaoyydHXrKIsL
3Gym5KOydoPsX1+07hdyIuXdFKvjAcUqhLv6P5NOcdZud0jynV3Z/jHTBqPfzFmCk2/4/yg7r+W4
cW0NPxGrmMNt5yC1ulvZNyxbthnBnJ/+fERrW545p3bVucEQCwClkbtJYK0/DIp3F/Vlvulm8ofs
xnNMXt1m2kXh3zUa9cLWrsyjfLPUTom4fKhtb+8ZyTe2Wh0YeaTrv/xRHT5H5heNnBNZRr2sWgvJ
PvZdW6Nx8Fs14vTVdp1tO+bmd9tz3CW2h8E9VrrBuYzJChe4kH73YZn2qN88NtaAJQJWeWsZ51sa
tH313cIEax2WmbVPDTN5ShSBX+IUrKeK8hDH4JmYnmCVpwZtDUYDqbRb0OWbdezQvJExnNXNU2P4
HJ3GSPUWPApr2JkE5XAZe2BMPGD5C/P2nyFqk21RKf7RNer4kJQ5uYlOraj0ZdUGiGly4YFfrMB9
1M95KwzsIfTkmy3KFzBLmH0M6Qqbv+E4hPijtoqinexMp14+5GzlPFU/3WKCI+ki6rt9zNP/2LTl
50A1X5kZJvKQG/n0yXkyKNdRSfoIIlxHyjYMTnF8Jx1qA5TEVd8KT3oM1w3MrLKRXWCMUJSqPNpO
PK9P0rk25E299+OgUx5viXnNMxsgPfVZgiWHRKlWSZzVR4MlT3NcIpdkPK7z839/1GuuNx/t/jqI
kwbTbNUB1KdZHAYs+19HP7XPUw7pnb4ZWgrFPnC/vdbUARUhEEU2RevvCFmt6i5Of9lW/Csxm/Y5
NkNY2aVAkC9PtXsXtPxKccf+bUqzE2/En9PEdgQ9wWY1Us55xZcjWqOuKnayazqco0KKG+Q9GTVC
c5Xh/PdYaL12NUHUy3BYm+Wd2dsmMnb8qxaDmPb1+C3QWvtZc4fu3EYGYt1q8Yrxqr83emQi4jnj
GyoFbkupmuzkaNFFr7ry2CIY9yhdEDXloRn68CojTVmgWjzwyUZALsspo9wG1aEUuzAA4+3paQKY
9D/NUAyvJV/srZugahAUbnwbNNBu47vzpy+H5TJcRxCuNQJnXVq5tTA1bzplXm0uazfMn/tRiKWY
LPeFnIKOdnI6YUICLqTAcueb0vQfKkDCH7lQH1vMVH/y4DiGqh/9Br220dUhRg/BAQzHvixexADy
BlW8NGpaLfDr6F9dJOigpLZw8nPliqDVXoaxVAgBLysvqlXfdV3X51vLnlA58IW2n2PZ1JEI1RGA
WlhJnnDa2SqF5n+gX07+NZ3iC8Qybxej4LxTXVJFbmmo6Fq0SINryIGL/zXVHUS8sDUTnPs8H3bC
v+Y7IXR5eWsdMtFOD5vPW/9jKmpG1lPQuh/RVKl3oWjHtQrA7VnJjN+5V9q/rP4Fx4vsZ96SsYtT
NX2EMtUtiil6HkKD7Jeje3u2gslTbqHKGE0GcDMzTZ86vGhOIMYfVBMTLuxCw12tBMW5AE631EHe
beuhhRSh9Hdz6uooe44WjtaiKLo7WzTGltrme5oq6gvg1O8Wzty/bKy+3Co0P7Iq56BdtdGjGZfu
plWFcwhz3MAsG2hSNi/C9uq7My8CWrgohv5zUR909ipt0BOWIIUEWUxk4LP7Ww9W3d4LJ7xWZ+DD
P2foCcZWkVKeR0PR2Jx29zfw3Z/uDZsXNgVMFXC+KsLe4M8LXelOeaQVF5NilLZtlU7AByodvhuq
/eAjHXvsHHEnQ6nRVZQg0npcgxHxllGr2GQ5aOTkzOETmooUkcw+rZ1Fr1TBQW9hUEP4vsgDbu/m
B9UKKJ7MIUWBIB7y8Pk6/JoBOm61S0n4a5E2eua6ClpjJWNqk66SwUDCvW7vVdO3HvS5kVel3th8
92pjSZ5K2w0aDAn5JIiagEP04OAAXVTho6uH5cWIUMecnxWySe1UW3keGVa5IHDL4uIjXvM1Q95D
5Lm17gRsNk97ctGuO5SDjeWN7DaNeOiG+qHmI9ouvXDdllbyJMdMO3lu0ZY5yZ5TIZ2PE9i+8bXy
3MaFv1aDUltlfYMyLjpDvCjItO9v/SZ7t6bEPY+mEoPrMadj3Fnvt7GvtXI0xSjg+rVexgBojQ/o
+yxUSDzjyJ64z/mVY3jG1yaJym2DidthmozZhYfadIZV6etUWi/yA4qS+lL9s0gYann1U9D3aII9
lLoQJ7tQUOf2zatshBvnq0nJ2J5bbXXS2jR5CV2OZFgQPNZDGb6AvW7H5EWEivrYa82SA2LykgVj
c5kwv5MLVHACDzbvCQh8CAwjooXXfYGk4ITIkewW5JqPVZH8lL1hntFbuUCFpAyOsUXdDC/lTeOC
Mh1Qjb+QdYyXGCo6H1a8l8+uIUN13ais7ppNurKVU+3WDm9T87xwP7xp1zYw6E3feaxnqUJY+yHU
eLfdSpZWBvQIEL7W3kTn5ehXV6Cd9PfkeS36UvcpZ/Vj1XFgF9RN3g3DT5Y8gvF8i4rqkTPzWcYV
bejXlZtBxwar+45xK3qp8VrNcyQ5UZtalmNYfR9yZYcxt/67xBYQNwjre52UyiIbSuc6eNW4sYZY
PzozUKwd8P+LgnQX+Va6k8ct0/W7FdUasZOHMQhG/Wqoxs/RlFr0KqMkAKtcT1Zjhm8j7FrjechE
slOG7u+uN3cr1dWfc6v5HP3qyrUFvjKPecHLsQ9ddj2CiokdwhDEmOI96sptUPbjT/Dpv0Y/dZ58
L7Q3UZ5TOKgqsC0tFU6BWMKPuP8lZ+opspJTTr0gQ5lo69Xs/iuzKA8k7bAUb6NmWcxdGQvA496u
/nusoCw+BRxZ2WXY+K+DwFXRiw2203zpWna57LMBa/l6CCmgptG9vJKNALazdsZGX6n9LAOho2ih
ZvlbX2KSiFdot24KLX9zwJos4pISsBBV9GIYaAzP0wJ00Q5p3bnLbkzeObk0ymNfFtrGQlue44s1
fGsiqg0KmKCTXqg5ij8MSKFvFRwkWnXK5wAUgHIhxb7lwNcKOeBZ5HQmU1xCEvBXCKR7NmfuSfZ8
uEY7P+jipezKRqmbF7aOLyOP+UUVit9SEpkHpHmS3ELZ9G4IqLyN9l/xOkrOuQOCQlVMZa2ojv6E
UlW+SFWbtONq1HL/l2X5YhF1pvukKt2wNqKNKXL77HWeiRRSqLzhx3PV2t757Q0/S6zVftq2my4q
/lbPyuDgcOaSA84Na9jr2NhBN2wPlsjEfRSELntSMb3Bjbu7oe37AnRZnrziUFUutcg+GGGBiERe
ZB9Tl++aEVQOb7D7wuxBuZhJfx6L1P/WaZq68LHTfc5xQF6N7EfOYoDhoDf6a42ez1k2VVfiCZGW
1fIrJq8mDBUmAZz5Kz5YrbbOgKuuyj/r5agZHXGY6R8wuY69BewJb+aRL9jt60tNKVAk8rz0h1B7
44gW6HT1I2jhiknGzbCnqwypA8rflh50G9mVA2WkL1q8/M7aPK2Ka3tnmSRNaiPskAvmOSRaIIdF
rJ5VzmdHzwduGQNZ+xE+hVbW/YiGyFophuscw6Eszr2JmmwPheuH2tv3g2+rhyqty40Z+3jUSG3R
2yX8tnhXjUhl/cuURdqzfCmW3oaljOlNhtRIg2QXKNmxRQZynQHFu1fC0lmOKVoMU1LMpaI/fdCn
wIYcMP8lEI+F8KhRtLkdv6KtjD1p6l0zb1Qfa+wdePfFr6hlBvdOh4WR7DqJRr22Tut1NmbJK77i
FOGh8+KOxWTdML5hmNk9yEHHokY+KOxu4vCSwfBaqBihPme1OsADVvJzwuZsOw46/q2Zlh4Q41B3
aVfgfBHb1lpTx+YqplDFnVEMr50KUlUd6+JDMbNdPDgkpNOUElHRz1KL4kEfteK7LdJhMYSR+RzV
Sr7q8845T5YHc6Dv1btpQoW3D9xwz79cex/nbOKhwtuXOLSd5WB4+7Ita+TRw/ouECrFkvnqq3F8
p9yg2Vguaq/DXQ6Dt4bqTpytOs5b6rZjv3vrF62aA2GcJ8lgmebZqpqDnBiau7pKnwK14G/jq85V
DT372iFuFomegwzl/uvkGN0xsZLfsiebpq4sWFoAH+X8OIuak2+kt/mKkjvXHmNVaHZDtIW0jRaF
WwyHOi7HlVqq+SFTze7NqnfJzAmrLT3fe0OTrTvJHMuj70hQZhcnFvmyGaxx4+PHtODskL9rA/u9
1oYZOMC6fItwrprDE0L4+MWiU3brqs3voPO7czcpBk+l6ic5ruLdbgXVzTru9kFT5++dtQaUrb5l
RoV8NSyklQxXfiMWZudo1O3V8ZIn/VvSqriHD25/5yKQvZ7CTtsJjuJvvo8XDkX4Z75eGHYm5IDt
crLeescVK91BgheBBfttRLTBDfK3slPzowuRDYEywrUPc6k1YaxECfSiIVPStY/JxsvAy/6lQF/s
Yk8lLuSESK3Hdzpnq4XsupMf77IwD24LojpC+Z1X/06Oynk21aEtOasGjPb0FoXhcIwHnc/X3CRl
tsiCNj9T9nIudotpZIi++teEogKV5BSwB79iPjnMzeh2YpUmVLGWGtwjhDxBIcq7yImw23/nKD8e
ZE/GQ7NaZTp+bY1ppisjtPts5Qd5D+/NRuoeLrO2HtO0X5i2PmRYT/ndnZaRddigorzTrGnAnYrY
pPmjcruUa/wYopQckXeTVz2g01hwgoncoT0HAnryqIT9N8MSJKHLLDwFveafM83EOXgecCI+ZI6m
QOqow+5CVum3gSTXN1cU7VL3leS+cgvlUkX6j9uNZgldVTzi0pmG7nTqMogNTozXgZgGakMg7vSF
vIyL5mUGCO//igWKsA66G6AWw1r0agZ7hQd0uLIc3VzJZYHRuRuvgtsoJVA1jN20WoQPUj/1T0i1
nODBqov6IuMq2VM5S4Ymq9Yor0N0QvwmZzteawu9nuBDuGnxWKlWejR0BJtdR4sBNln5i6ZYqD/K
yQ7JZFj8zdIJ26RAalZHqlJ0ZzkqCidAI7FM1qHR5I8ijNOraV5vU8HL/4jG/hVtwuL2k4VRtScz
woZi/sHyDlVefP4ytxtqkbj9MrIrmzyu/vqFqjSodxAyMPKef6S80z9/qdZp74ImuJ9CLzkjRZ+e
Y9Vk80A6C+w3NKY/8bbWKEQLv9h8DbgU009RTvFvnibjaarG8OXdGU/CI7HUdawa4CBziKELOkfc
k/W+5rCVAE5UbDvJB0U7OQrTzH/Aeha6enPMs746UMfFsgov0rWFtpi5F2U1rMM4JAMMlnXl52G0
kVposhmonq1K7DD+iqWehn8AfqGbPLSBFGKiUZlDtWmMqn6xG/2xdILopxlp4HyjjOwKbh6C7c7B
c+PoDFiaffU8o+d/qMjVD60mI23pTfvg6SQ5KOdGm8jWlZc8Ns5V3CNMb7mvFlnJ5w7rn40tqmqj
R8a5RCoZEmyBfzZ+PG9ZZJ1RofV/VUa1UbJm+N7b8Od0thQXLS397ZiKcS8XxT6m26k+TW8pi6Rb
cdcUG9hb41+LhBH5235elKGp9dBHKtTxedGfn+SMqAasmtFM35GA0ta6kqDFp/NdL6HP4GaRiI8+
QN7zv84YmYEk2f99D/jh6QcSvrd7wD9fTXaQ3vvl+5Aq4iwbHZb3uYQovMqhKa+Flrgu74w2fGBa
PLXs9+U8EQpv6SAwlcRUbtvBXZl5k74oqYgWmaJpv+L0IDLT+G1p7mtj5f6rNanovZgglTVAejtN
Kbu9XO38We3Nq1U11f+s9lzodCNpDx5/+C63trOQvNmsiMBuT0Z61gJrOskBmcYuBpXPLK4mEkqn
tLG1Dh1KsI2kwOnXOkJRM9E3oVUnO1VrknfXfZZHlmpgA5NnM01kdJJ3++/wP2bLc4ycHfeavejr
8r0NGsvc8zzN7pq5MfNZqNRz2JPW+Uzz9jgwBTw+2N8l6VWLa2NL9cPalvMJddLyD0flCd6Znf6M
qORfPZ1eAh8QDBkn3Xmm7IVVO3xkyqPHUQTciFY8e6gOTZwhXoMg0TFzG/Nbt+3TZE2xYNjJUXSk
qJf3II/QbH7U22zb6Z79GhnaeECMjZp3GpO3HGxt2c+/ryTwS+6+bNQmanaNZiDjp83i74VhU6Gb
+19Mf73IajR62L1aQRuTPkwtElxeDNE9R2nfMh9lyB7HfFHlojgCNrAeVdFhOPDPBbAfV710qrfC
Csm8OlmVObLvZqhOd4EfdjC5kSuVn+tGPPZGan0HPDutGuxx0RKquxMfAN4YoXjH4WuGb0PII20B
bdDwho1MWeroLFxwYVrEY8Eb82vUVfVobUP+2mqUfzhJtcO2bYzirWz7J2Bt1WUQqnJxHf88mEXx
BuaYIpiiWGs5S+d4tOhg3Z1qM4EniJbEsR+NlRy0M0vZq44L2mm+Y5IqFAAo9BzlqHPxuNmh1Obp
ZAkPBTXSW1OyecoWX30ttz9HKpjjC3ieYs3h3zl8rcvq0CUjNJz0DMFRlJXtPQrh1bXjBHTxxNVH
9+cqIylsol3m5PFSduXAFAYIA2SRvpMx2WT5BjI+xjQJ/HPhtuOyF2UeLCdUTvcYohQLUOXRRTa9
i1hLn5UPsRsUAVmiun/QdTZfsosadb4B+pcvVbO2VkZkoVWiR+awiAuvuZdNmWft/TQXIcFq/ZQh
v5ia+7/mOX4cHfMSoPU8V05JyeXsY8jRca65B06KEyrRie8eZOP+ufr3iJwe2mO6RGUU4ax5oozJ
q9vsMWqNbYC6rxHk0RFKXHSUV/9X9/8V8+IOaQrHildf94MhDtUUYoEixv5eNqQk+vt8hpgXYCp5
zrrrr0HvzzQZG1VsRlPALHK+XAm7Bvlpean2ZXwnEAaUc+XS3gr+4OupqRvrwag0gMKmehcYk78C
qoJxdgTty64jtV04UYeIn6JrXMsJ5AeD2wSzpDT9KWiV+c09BxtxjVQluZj1NUBFPEHKTxV7X7XV
hW6iah7z3i8wAdxGY22s3dYJ3xCrplZdeShjk0h9xcS25ov5VgVafJfrc7IyLKK3LgcbqALQ2Muu
3w53qYLGRAsk9NIn2qMlGvFSmyD/BiCiGXUZuwJoJbsWFrj2wm+VN9Q4tb2MOb3bP8AVY7JR7BXK
HEfZk3EIZ+Jk4AMqbS+jqAyP04BYtuy2leuuCtW1dmxUDUqQ6pMHJPmc43GQO+pKG1P31HY5UpoY
H/kITNTXCscS0kNQa1YR4q/6rJD7FylK2IZ6vCRV99p2igWLtA+uk+pDBWiAxbvBNYvS4Iq9Z4gE
uPgpx/t5Utkm6aZzYVXLGXIgjE+edili55mMZXF29T54yYdHyVnRsdo91Wqekt2loDmqTb4bscVZ
y643JyLAQVg3gst8C8dW4RZA/FnjvZivzNbU3pRkuO2e0HsAVjl234faKJdWNOUXfwgUyuzNsI90
I3pI/izCy/q2KAebIRcZpHUydl7zC0C+MQTqhroXiovsGSkYnAaSGvVQ3imWC71WNVOQhfMCGcuq
6K8FI9jiBvfD5L41xXMTxB9ilh+sEr9b2iAj7wOztS6ksn4WpT5+Q/oaG1EF9Y2uNtVLGxq/5Hy9
0aplYFDemnDavJQu5udyIFQx8SyGerjXoqKYTdRC+DG+eR9mrrfRpL3Y3GRDgEhxS51xdhb7istu
beV9h0hG1qzwIsNw+59zIhC6aEP1sLpt4aLky/0EDpX7T6rY4Go/xql5UQdTvLW9PeeN2CmXGorm
bterexEp4hQ4IYc8LfafRQt10p3c+lejskE2zd//XO1UZnhbHdrm36u7JqgWnDrGlUzCYDOUnyLc
K06w6vSlglnkqms7iOUyHVM2ob0GyPPRoEO4HEvfeUA+B5q2gO7NhomSuhHyntbr4skbrNOIuR6o
LtKxU3WXhp72Xs0Lp2aiEOg4nwvDduzOXsyxdXC9/JjjI72sJJs9HEN+E6R2elLQ+9veT7Ip5lg7
x277Q/7Ct64cxG/Y2wdm3K/tbA0c2TnbdgWsIsb786vXuitg5e45GUR9QdOtvhAZjfa17qPiAShu
/MDZQiyMoBrfSM2haGL3HPTmbutjOkjm/VFO83OqhrlpIkSMm8gyQBBTQtQswd82NMb+TpZBjH92
5Sj+SP3dkGTBWjda3gDCfBnVInmm3svOErT4Lsni8KnIjA9pIS6G6cUo9c8JumJD3ouMtWIF9aWk
lnUem0e7QpH9K9KFjzc5DzlOTw7VWutvjX5UFm7kMN0mMRR1YbZL57+EpXafsSIqsp3s+n/myZge
qWSvyhNC3O41atNDX1D8lj1McpRdNUS8Ahvk1pdW775PvhB3clR36gKZLJ10rt2NcGbYOXfqqO1l
V26kZTd0GP3qytHM3twwL4ahn61QB8fPjzk6FcjmGcsvQ/Iq9CrlKIJmR6a2meVZSh7VcbgreMns
Itsfnjwt/9aGIZKKqfueNd70JCeofRihIAMLhGPebUKq+e+l239OkHcIez1ZzC6Ed/971qCU4Y5T
5+dtHH6OgTrrx5/bfE2Qv0gtqm+6IYpHTlb2pqoVqyJXO/lHvBk4mekWeA2b7ddRBpNB3xSZVe7/
FZeDMnZbJvu+q2+nDIXUbSs07aIJwOUQrZWFMdTOe+FB7RI6zrJehxEYW8u3npT8fwcI6arn/ouq
YzqepzkwdAwLkohq6+4/0aDgtjLb1gprz7tu2oWYM0xLTxPZoeb0Md4uU/4ZqJnMURKn3b6AVaPp
bbAxMXdYa0PpPdWhP9dGJhACqm2S3CMWNll+Vw9FtqAi5T0J3BHJGFqH1sESYykWYLvcJzkzmqKj
o2Fsqs8T68bNUNqAtikHEdezqEy55k52qZ0oa5JSylpOjgasXdzAfXfQ9F1Ca7CfLHvk6NKQZZdd
w6LsBedpU3YVJcZ5hsYv2+Rhig02vShLXvCIyk+yhz16uIx0Mz607QgnkVT5wQy8YT+Q2FqFyOnu
2h6Ukhfn5Yo/EVoaDZpEouK9nU+xdxvVA8+G9dcWezl5Koyl5mK6lqNXtm+bqXnuEF1f2VEhKDjT
9VSssfm9Uki8onkGnxFswr5FmHoe1dPW3+SiLzn30FUMxd8OQTKsYk2NYOShmUnWL7535oa9cnw/
2ap3GL12JXvIpH3G5bSvGIdDYH4JxwnXyX+1uZrfy8aO8uJ29RXTNP08RI6z+wqRcMLDbG5kDKlI
OD08g0hg/GNAjiqjH6FsEVUH0hjW/hbzER/1AuCtk5U8RnC877M08AF9wyTeGDHQeBn8a+Sr30OU
9xw7gM3Guq/mdgdDzOLPZnvWBv1zdMpd5IwCXEf0SajXER2l0syvspPwsNuOoTkuZVedJ6R2+aFh
/nGUIVl3y63kYs02KDKUoVSxgiRJ0X2ONU0YnvOuWBV8wMh2PtjQJe6CsO+vpKMAxQv4JLIrm8TU
QRdVTrRHPbS/2jYHOiFwVJ4XyAZZLWSXeJej/0QM8k9/jaLilzVMOIjPIR1b6FOJa6LsyfsMCD+s
HSfO1zKGuAwp4sLyNiKf7h0Eju5FVLTXsLKqO8QjnmWvcFVgXthjw49FmEvGZINY1L5DBuAkew3k
3KOXVD/kfBnCzgTcfuW8GElP0Uh162+d+VPpW+NtUIIJzz8AtwJ2NZ92HZ5z6arPqTMYq0HTw1Xr
im9WlSsHvGSzrZMnwzITbYEAXdgutUk7Rz07BcWYyJY1lfreadG95grvMcLzCnef6TsY8HpbwYDj
h/TTGiWTbjcMdYhwQ4b949AcyCHgfDPEOzUL7PvA8uPtwKYaj6XOOVWe8ZxXaDG4DUcMj1/C0+p0
X+NdtfZ6GIN9JbalbdZ3SnaPa4mYj1teh+mBxm/U2zstjTeJUSS7uLRiYOQpahzBuCjGCRpKFtoX
1cf12lCV4ZCFERVJV3spnaH5jkQzz5fCVE+FUlqAagL2QW4RbE2n0tbNkJoPoHKXxagHV9kgkqDu
J0AO3Pw/MZCWyboqrAoI5n9ivYezfKik/h4n9/C2NqgNUgxpepbTVKBsd1S3H74WqaXS8+zxW3SQ
/7MogXy51DQn3srYiOrYnR96x84Eo7Ew6rE8UBLF/Eb28xl5IfuysRWgssGI6zaKcuni1uqYxR00
JCAOidJp6lr29c4sDvIKyjlTp3m8lqtk9HOpWgwLX1D/kW8i+ZIKYh9t+bmRsa/uV+xf82L5LpPD
t8uv8a9b8GV1Pl94t0shOoTpINTgnnoY6uaziQIsOJK5iR0rTBeyL4dlUF59xb4GkqhCvOhr+N+3
+Fr9ORO9820Js2/pl9GiDyz3oiAf+hil3R6ViJ/AB6cHtcMfxuwCfVUD8gGeLvzHKRXFQiGL88sy
fxXBAOihx2aWp3h44Tlo7gqvLmCCheal6wVumFGT/MzcXWxo8a9SDB1aV754VJqi3uZaau4NJdUh
aKLV5wL0/R6PzmpSsU+zPCDqAYIGKwttyKMxFekz7kJ7C3eJ9zDtoo0bVKD+eizUWEC9OIiDZ63l
m9nW8Y+GOuCz3om1YwqDcmfavCdTsh5aU3nu66ncRYq1aAanP9r4sBwR4U+PlbnWRTPuvTSbS65k
PEhUZivDrrydpWf7aIqNfRsg9ACGrDwWtvE2gx7kgz2e844uB8GV/8zbc9wKu0E5TdGi97iiYMcf
9BpHxS5EeexE2hQTFDPFkWkat1nRx1tXTKtRaep1KebCeNEgbgS4bGsEgUoBDMQ0n5tkPyoI8jjQ
YhE1cFO80OOrUmntzhzZ4fgxiX4w2PYPxPZ3cU4xPhzC/q5NgGLyXlkKBUswbXR+TUF8MT3FpIYQ
L80+eU4RrPjOEWsdB269IC2dnvIi6E8+spJLtPOU77mrHP2ozV5stIV3GTp+28nhCN8BZPMq6upu
1H4UYBIWg1t1F6ia7j4d42ET+5ryAuLgBP6/vIOUna2En5lLHEuqIwD49E0d1zwFteUk+MCgG+et
rBCCb6nn27ocsmPqUsx2yvyBsyJWzE2QLmvdMFcapaSHTjO91YAGqWcXq762jW0bmd7J1tU3cH9o
UDRIKpaYlexjymXLMNB/OvaQHBAYg4JmPro8xpwkzw5dDJ5aKdQZUxcU+9wwXLRAo5IUU6HubEUc
zL7UlrVdLLwobVaenpWrHMnkk2NH6cFmQwftY6E05cJTbXBjg+u/tiWin43wnMd4H7GvRCaMPH/l
sTmxBOneCOin6hrbMR6fjbbMHrO91UeXrrEx2EbWBm8B8DkheaeNnVRs5SfFXVeCXdioP2BQrBx8
o6a6IwagfTPxTyCeFHsx6U+1umvj4aLbMUzqi4Ir1mIUY8TjPmnvILAEfrz3f7XxqG1q3EQPsim9
Kl2N2OeNuRsvEMdpDmWBxnspPOS7smRnKeamMlPdXttJ2S6Lzn5XmeDoWAH14SM7oWZT6kN+kI3u
RcXtSnaVws4P3tzIboDDLY/xP7P/NZySoaPm3y8MzpSHavYJ5Gg3Zrd+neU/QuuHU1p8DkJniT+d
fshFqh8mM7Q4orO/TaEZNoW/ALD8DTcprN55igAKxkIYMpE3LeUlqOdnWw+LTVgMxqGPbePgjNA0
IY0M4N/2fhJ5izzsyJD0GIDFQtlGFiX2hedyh7wqlnHc8tavwBCXLkLUOHCMDrI5HrLQS57xAI14
vBsxZepBXOxe5fOtLlR9TPZVZWfackjFiyMcLM3m3wBWmu2pxX5snssiGw5e0A8HZW48dZWWIbqL
eZcd/LmR7xp5hQpOCImHFObCDhRt1feon6lx3x5IAmECN191VvdRVPkTDhz2olQT/gLl/IolK2dt
R94IGMdVfMx7fzNFyQnpcuVQzeaPsvEjZEWU1CTtn6DuV497K+J/TP77aWb5YoHmXTekWQ79OGUH
NkCtknaHWs/MvWkB8LA1wRnNoZrXGW22NtUWNRRkRQ+5J74ZeW2tMzUeKWbkDS4qZfYSaF514FsK
z44/rDkoRzvGyLMdoQt5zlb+j4Uoky2zQoD/iPTpEJXNdLAaFKNIn6Md5hYH8hXlgb28u3XiiA1J
ph6S2UdOVEV7+zN93og/k7xKs7K7XSXoPe8bg3Ofj4wHcHxdLIPcBUOqVtOmtq2LkQs08wIPEX0l
rA+ycdWyPrQJ1CwsO8BWQtJYFHm+gJheH0Tkf8Pt6VKV4AGLoGyWsa6tQKEd3apdqL571KzhEETi
Gpeg0AxwIPsuqA5lRlpec6z3ylb8+3jopmUTZ5c8FgOuJtoPVOMRO6/7o6Bcixp8gCymnbmwPRCX
tYEkJGpzLZM6WNk2O6KqSOtNhKz0Ep4uldfSREwL3CTgxZdR98UGiZd4hThAtQ4sPCmUqA84+cES
Vgq+cGa6yXz3e6KQALfs5nHMi2E1FIHLEs9fVroeLuypSTchJ3sIXP1j6FBdHcYOFPr/cHZeS44b
XdZ9IkTAm1t6T5Y3N4huqRveJ+zTz0KyPpWkmT/+mLkQg0gkqqtbJJB5zt5rzwWwubmaWDaB6Q5w
KXR15KA6s28/dhbjzIcQlr7WiE7YgMtBbcW2asWXCi+gW1s7tMjqpvEEiwPLrdehF/KQyB4QfZKR
qfa4o4PB2mFAunrBSqnLAHcL3wnNz4ctvCGDP3rQocbx94nDiXrnoC0C7vgEB+v8LVvWMlSZMv+W
JgF41tRTtkGU3obYEjvXFifbV+xjEpb7mGfWIfKjbZvFgn/KzgFzQIRqSpTYgjiubF1PxbTGJkLW
mRJckigrl0ldq2vurfaaWGpkXk76Si6kurZjzEWxUpFqNEA0iMJ03Xs6gfUgF9eJG7xmJu65nsZP
4IjhwsPuyneoPuYh0dNOd5ofqwtM9x8qJLxVREtnmbsG2hFW3StXdehWatpn52KVF6IODwi3l1Zt
j8QiNzBquihZO61oV15QXeow2uehgULAM68ExGIWKjwTl02qL90GKXmbNlu+n/CJm+JBL0ocCnWz
5n/WtLPdzNqmdrceer3BBWPWC5pIfKgz+2iFEf9flTh+nAw+crqxnygebthMXObV/6mJYKel41Ds
NaNja9Cp9CpZjSfTiHS/5UFPZ2PZl6ANLWhZx1SNfsdjm6HVn8lJHYRq6rKECpokq6ngg5Dqknma
8PDz+muQjM7CUiZIEajfT2l7ayaivdSSv78Ykz+tssrXmqsYZ8Ui9ZcKzG/PjGFnpfULm6nj1Oiw
uy1My72rXuMYWELpTVtd8c5mGhbLRBPewdKQvJcaHJkkdjcJVPOL8M5DoAVwpMPoyckHn+1Pau1c
pXNW1JAsLD/iFpsuTD/2Z7rteQctgnYezoVsz/fPWKoJ4qBEdqmqWrlOFnlZSHv1ohoPStpOW8zV
n0Wh6QuXZfGt71+KNCXLoSdtmgWftmYd1S/r2jrZaWjtANpDedXqP4aR5QowDv/I0+gSp1a1G4cr
2DxrYWHV3taWEx/tVKU9Hp4dr2tWOZ3huivdaziQOmHUIt6KHkWSQQ1+EfuJc64mlbv+1No4rE2N
mC9WVH2XuavAy/SlaI1yoSGA2wylt4CR5jziONJQyRerzsuc+cFtYeJ3qmXVkb8UVARZUtoCcYtm
D+MVuNHWmn+p+BJ2+Y2GC5zBwG9AkkB8TTw+J5lNa1JJooBWn2Ov2+kAK42/PsbiqXLDpTLhzwcU
mS90l7KcZnarqfRex0TnEQ0AbhtM5YZ4zE8du9fKn2jXRhqq0KKM0msxoDVED70M1EHw5+XI/HOr
XPYhcgTQn8myp3SzHHtnOPSZdtODtt5kPJ6vmZfjqrBwDPEQCG9BULwQankCd3dpKS9fIMeOhIvR
6Cv7je923oNpddt05PlTZZWxtlUVlGgVZddRGY2FN7Tz34elaF7Z46ZWiyeE/83aNap2VSjtjyTP
xMZ2SxKfMhQXRkC2XxKCiDPMAVUgOyf+R7DZ9ye1R6tUwLwrox6bOF7DxH2ZClN59mLlhk76qEOV
P1P66Da6GrMBspv+ooVi4yaldgzno1ZE/cXOjP6iKoF1sElhwe/MjChE7cwdYpni+JwyBYOSp1+i
cNIvGe61VQNuaCkPuWkfhjFuCB1pBnTrU/UemOirRVk172XZ94vWaNv3ASf/wrON7p2abodwMhje
A57ZC3yMuCHZkSwiQDDvWj62yB1obnpT0iJo7Yz3prUxa/OBfjcJpQMZUjvvyKWaBQBB953lB7sf
nM2rQWgA0E1qMyVq/3f2O3yiaqG9xc2E6NUww7c5RmBh+Fn3WoYhzH94Ai91pCDsJPy0bqsXG2fx
UqjCeg7b3AC1EZTPUcZdebTpmzmen++GpoEABAvlEQscO0DTDFBgnHEGRxDrUGhbGrKyqXb0q2f3
1SbQcYPiRiSQJ6rHsxdH5jZOxXgqnLrfmcRDH6myV3vhNNqhRZYP2ZNoYRfxAP4q198pY0o+nh2n
u7GvjINATLnOMntZxZazx0forMhZ4FfCfQynpEnXIlLZxkbtQzqq2yJoshsK7XonQMLN/g8L9lL+
XCeEOsZT+VZgd14hElKXhUnuWG4e7cg8kSymsQvS/uga4xXV7u/cVii8sPhX9WqfsH5ABJythgo3
xcBGvA35gk9h//XSJcoh53dZGKPrreicniwvHLa1M75CLOxXlm/P973B3EQ9oJcyzaoju5NFnGOv
0Bxt2OUAxpYDHMCFa+jDciT2d+nMW4nYMvq92WePpvfhOqr+kivjr7BjZ27yeQ2VXasE8bVOczYT
nvPuY09clJbVvrgBzi9c8YiH6moTB5R0lVpHdq4YbMYbcemi3t0EXq4vHHskNpX6baefsNbDIJph
DLGbvGvox1eVl+0tj9q60XFDjbIw3GSgQ0FyRo8j7faFloavpdNgPFgY/YTepj2UkaLtQiV64MG1
6s14WGojlCBdrX+DXtbsukAbIn5TkO15mgtUbmoULazAtA7ZpHXrKW9zMtjrY6g7ybbwtXdGb7jG
G9BZ4slSlFPqpBurRD+psAi8d236edeYFi8UANhSgoSkIOhSAs03dZdGW9380IvM2HB/fK66PF/q
WdyfWz7wtB2NYAWofOu0dXLMDISqfdnjkrT7lyGt7G3g+4Lomu5TbQpKCma2nuyQe9/gd+eI0oDt
NxD3cL2u6dJ/ZJbAD2S0L4E/Rig8FumEz6+toTQoEU8mpSzXhdCcderw4K9aGAwhuTAYdtYYOsLn
xt1UKeGRhdp5xNsAdvLMy1S29HUhvMShN90KVtJ23P2h6CDINDeBTOmD0rGdp0z/OTgUzeiFs+Ic
2o8HJ0zdPz08aTEhBihZMU7kwcFvtASj00Cmdz95DzAd7YPQx1/1mBvbpJ//QSK3vo4OtL9lE1H0
hOt7DbxI3/T51BwasgoRzYG77edaQVY1PaUiShRZvRSJPdRXVVf5gEce+45yZMuRl6SCI6hu9yyE
u+0oT8szNaYnclubmPly4P4D/nZO/hQ9Uw9mlI1b2/mdVH6971qFvkntLlVsKAeDZHvSebCmaaVq
7wjIWZa405claFctjO2tMa4TmliPMG8uKQzRZSRaZFw5bNqB9uML1lUycjo8S3my7gXWcCXJuVmi
FqJ+s1Vy2/kjiOn9E1HKg6CYVvZUUMP3SdqIwDyrFKEWSWOwzy/7YxmKVdu1N9pr5YJQSzyoGgJT
22gf2ikzkIeUJkYysQ6DfRjAyTFSUmPHxKzAUMz5kFmSrUc0QWDUwsci5XkF00whG3j0bAGCyDLg
8dX+yvfD5zaDPqs7B9F12kubPquociAvBPWlLfpfJj3fbTdV8a5SQ9pnGs+3CWkT+WZrrJrGshiQ
OSjKePE9ED9l3bxEfk1nzv/t93n+rPrdD/Z3LQDyZjMG/ky05rtYlsnFJsplT0husPRsew3S54N9
OOzrrJ3WreOz2W3cT9JC092kkG1jxB2tI8OfFlnlBAuid/hc1a+JaQfsn5pfdU/8lBNPz1aZbJL8
vSpC84dfibNdV8RZwL3Nxrcgy4oFzHGiLcfikcSsduNEzqMxpG9FTgp81Hwkg/bit+JXnrJObYMf
ajT+dqM6Z0XhtXQOgoC+XKQeXQ3ykRXtm6rdqnY7/agiuGw+Ab962pGAWi0KQSlFybVqo1WGWMdW
jg8/+lOQskbjqhDnvoNOmalpjFiwguXp9WstapqVoh/oI2QJSc2Z5f9uZm2W5WAkAPus3rqWyhuf
3MghDDlFgwr1Fw8yq48OyYY3OQ57a/9TFb2xKq3RXbTZ9JnyD0PcPPuR9lZUhrcZsjK8+YNpoZi7
FJ69itg4vzvNsLfs3l+YGOe28I9fFDeLrrONdBv7Co8o4e0oR3tbHrw/FKA2hWoE+9z3i8egTv6A
9zgsXI2se91Qjj8dbhAsH5ziENDqW4DmJ07Z69KlO3CD37HqTvZJYl56l5VXQUltWRBZSUkhRxyr
GnwlCImojDJfRXDQuP2zoYrQ32wmSi4rVTdBuBXmcJHvDEG51cGRpvYFvhK/7rDw1NED+eX7oCmd
nW3byrKIS+ViFPxVHfJmLGJp+AinxqWKRutMWypfsEBSXr0RwZyVJtO8XlJejUnFrh7Y6U63mvCm
xEWM0TS0wRR7qXZFFt1QV/EoawfxVK/tUfAnEVUunlASwPJO25MIfHo8ySRAWxQokb5isLIEaXsX
ntWOu7A5penJjW0sPFhZl4Uz+Wc8+ythhzBvqz7+pWIUY7UeUvvTQI+SdBaZGAor0g/CkYYU9QuF
zInYWkixTh1k9XFMcDNJR3PhudWxJdlqIZU9akyh+nuyPCsPWVAurZj4t5RC7twY7ogeCupsFalh
v8kG37vaWvH10vvwDlCtfA/rhkbo44RyTEyTTHT/mlorBN/HI7YViOlwuVudViGVQm6Q+NHxO4zv
DTh+WmvudazxJdYjWIh5WM6yXZYQ5KPdZ7lss65TY7mPutWd5TAgqYvj0flL8MgRBVk/SNZM28N3
TZPkyOqTfadTq2RpoZKVJyW5Rg7NMygXkSAkD+efYST6Hst+yKPacm7yRc9+VYSSXSGO8wxR+X+C
YiA6fE/IHBiLE9uuNUsuRCpm6g7bcNACQA7zJTRWyRkDMiEvycupXNlxQiPJjt9ZVY1PpRjrg0rZ
5Y521fxzDdX80wnHZlPBGd5rVjCSEdud+exNP8JR7SkLqeY51xpxdUTvLOQJTCTvbtmc2wFBx+iR
KpE2Cf1JBM5bxYvfus4Lt1Os0iQaUEz6eZi/GlH9LsP/4ggV32R2H4XOUgsHcXtK/TdufPhxoAos
bbvFkRnrXUI7QGzS1HQu8mxQtPXZSptzovttgpnIT7aap5JsNfMZTJD/F1Q8z51qrxTkmY/VrJwq
QFjLI+krmI/GOtEfpQPhr5lfGit7ZbrJuIqFcYUuDY1rTrW4x1hMliAdLgPRNepavvsanM//K/oi
HuxoP+cJygRy1Lr28Z5QTp5Zs6WE/iRP4D8sqDHiljreA8uLKcIOfg/ornrXOd052ZqTL8OmNo5f
2OD/HMKrJmPHdjZNvXMc17v5JBRsDH3Slt58KF+wqSWHsch+fQ8FEZhefONLSBymAqmFuST7rp26
zBBr/ufKoVHDhZu31p5Oun9TqfzfJpdKHfnS5UbOkycg+7nshSnD/IgNTCBlmA0PSRbp537qxCqj
grrSwzq+apoWX+W7ITJA4btjtfjXidGe8lNipRs53k9JZ96nNOzBqxw5kfwhou5ac+F3E9BNNYgo
r/Hjv18UWxWrEv/Iom2HX5JAnw+TtS7drgG/OOPqR31YVDhwzvJsFfpL21G652Jq1Ae3jS/RPCuh
3n8IuhphDIpddnHeuC7w52+qHry9DDcTOaXTyFJY881ZZwRFkFhvWtFZHvLvc9JbtX2QRyOPR7t/
1dJOe6iQjcjBRtTFOW5gCch8NTZE/d5owmDVDrH6Go55R5GPDpvp2n/oHvEkWdNV/A9FvwJoKntO
wjFDPwMNXC8Jy+pD470o0OvKuao7UU1qI3cj51pG9nVpN4eiyEvZWn5d2nXW/dJ4KLJnR1g2LWTH
2dznUjXBCF/ThJybxpXTas9EEyRXzx2uxXzklZH2PGVriPPR/SDL1RduUelFnuKlWQLQq/fyYr1F
UjX2Ql3Ls1EeJgc8jcoibHHiBZQIr47RXPqqT9+zTAuR/wqXL0QgTsgZ6/U4Dd1bySfNBenx5z+n
2q7+NbVT3epfU/uxvcBgrZJdFJbI59qguqGjs5ELFX+qc2aLNY3Bmj3wuO9bjGDtb2BywUfZgb/K
WdOs5CR5sU+I9A2Pq32zzPRvF+MzHfdyWs0+1CIr5ftq+TN1HOALebVVU7HrqkRZ+gMitQaq6U6L
fO/mhkq77H36y9Wkb20q3b8G3bh4UxF91NAdZm9Nc1UJ21uQHU8fZU4tUbue4sjU60t5OGZK9GgR
AyqPuI9YT13SDwRgTfi4A4UWbuyk02uSXrGcNaASjWpnBmqKa1WH8CwHsZng6iIyY2GQlnGfONYm
0W294BmOyXERtHl0qnsve1b6VF2LWChreZg3Gn7lABWMHg/ZMzAa98nF/jAfyAlmSZWOft9pzJvm
YKkk8eC6md5FwMK7qU39IB/QNhbnRog3niQVQjyh31R297k2KRcE+8ZL3MWvPK0UnLsczecIrVUu
EbmW+4rA8FWQWAv+839V0/ShD5rP0t7wqe53Jk+wVD2MzRRuyaYzH62RsI5UaZs/DG4yWt7cykZG
tsbDzXRWAXfdZJHrq7CnNUmjmXJtdn+jQAUknIdWyH+boxJdtimFR6KT06u7rqH03swuN8Ih1Z1a
ldlq9PLyeP+jTHvmIpJnY1AkkhlFkxn8xDUXnOVQDhV3TbkEjd/8RdZtiZi2J1zYXDAbmB6h9RBG
Gs7QcPEZabMtPmvyk5eI4AZNluSkImx+Dq0LSCVMXwurdbc02K2tLbzyNc/yMzXN5mfjIAPITcW9
NmldnQQb5FVleu0x77ACSKMMEVrdrtHSx67NqJA75e/eyneFXle/Vepl/3wzz5EjA296B7u4EoDB
c0ioXWUAxPcgD0e4I+OqKkHgCZWeQoJEbCE/BmMX26u4D9u9PPznNOxnX9OG5l2PvLdeWH24VoeE
gCplggo29NRKFHbAMzVBqvjlO0cEzsrUVJAzIB1WdA/qPeB4j3DTXH/41zt+va8xI+/Lo+uF6S1Q
gs3EvuuxyXT9ZT5qDLV4xFqiYy/XyVZtEdiErHMUwppN55lFjwWeHIVNMbsvwno8ZSG6G4PP61m4
vrKTYTqaTs51BAByw6MOjUqL2fZMSWgjQ3ciFaJuoqhGcs7VkKgcAI/jQuAv2zYj9x3IDzif8lJE
iCzQ9CHXEOpO6Qe2OqFLix0qc3YCHBUvaEvb5TjCkHRH5G+8ky/sa4aNXUIbMf8a+z47NHgaVbZk
WzlWkop8/wHG0NlnIzoRYa1DJumhQkRB9JhN5XgU9s6sBNXiuqdZjd65W/D1JBVb130SCXLrgLwG
lwdD8qVrwGgiL4kvtTmNh++58p06TcNqnJ/28hApk7drnYKogcL1H3Kj2Wg9G8B2PoroeF+IXKQR
yJF8wbBS7g2bQtj3GNqqHKwhL/IqecKlZLNQ86yCScK1oB/Sq9Pla7cvqHF1xpVfV32cwGztBTxf
qleFmi2btmXPVfcKhNNKe0xNMD8AeXZCng1xiK8zXSHPkG1stpx/XqKH3TVBvp0qDiis1jmhqb0q
w+TgW8idh1RT8AUnESKE+VCeGIio5UI/XltpK+KlEvoeqX247QNiwmlimj64EnM4ydne/LPsh5QN
7v1HRnlkLHFNJBssokohnEtvdnxrrOT/fcTaB/ECtRT57IiUMToVBel920RxwlVTAM1oWBOunAFS
w8oBUkNfkWixTPer+8uQiSVP2e74Pd7TAehWZTnHUnpGwT8Nk0Ux0tD4vs43a2dbZvrn95B8d/8x
8do2N2FdBzeh//ren8kRwszv27O2CYJblv1OJTV0yomzsOyAkGfUG4pY6xqsHyvslZVMxoCeuKfm
6O8I9Zuo2+sknCai2jTmCMh7PkwinwieSKsupaYHb6O7IQrDeDNwzZwAetfbUQD1kOguHtjP9xvB
PVY6sAYBH959yQrdPt1z7Sxr3HfpAOt4jjpHccB3n2rVSjOD6GmidL2Kgz7bRrO3N6rN6EaSxzqS
Zl57ZrXgSvo6a1RxfPP5hMq5aQr1pvOM9m8OR+RW3UYLMGlIh2Mz2xzlO/ki7+119pEFo7NWqHUf
Bs3QzyJ1FXxWgDSzLPyUviWBVod1WvdH0ndUBiLffoypm21BxB1FE/urgLv7kwkocj8ESNWS2QI9
zMY1YSxzZIJPcoQ6fr602f3uIeAeoiIwXino9cE4/IyNATgqf79zkwPzqWnW05ab7SKsC51g/NuE
TkzK2QzoFqn1KB4buBPL3DKpmwZBl+yzS4sd+Tq5JptHVAh/JBSU8X6En1AVyzU1p+6ImSJcKQNB
vT6wIFYnWv0UsqjfeZNNa3fU7JextR7LaUhOrmAPHut9c9WdtpvJYurWnNPf5cv/dEKOZRaURTrk
9sbNPfiahioWoTrO22QO5Zh8J1+UcVJPaWCqCM1z7vY0s17jWY/u2P+Jp01UbamUUXSTmbZD14pD
5KDmkjPkmEPYw9KaZeWK438EpjF++l16qZuwf1aCLDriWhtWGA6nT3jE93F3FogkjfI17jJfzPPt
eTybx2PoqfvMEaAsvCBeIAJzLiVw3VczfcM0Y7yFfWRBCADI6qQK/lC9I2saOt/Wmg/VwXtQyyCf
Xql52CviubGjyfBHvQqeiEr0UthBNZVz0eJQ3KOm8RDGKIMI6Oq69glT3ERVrwRYa+k/CjLEH+sm
c/42LjL1Ph6pXN936NLt3CbQxPOWZEOpH65CdPu8utZ7gdYx6D8zowIOoxf9zWzVbjfatbIj0J7Q
McfiTzegxCR23FxReNmHzLUuUI57EvIGsKUG4AM5RuONBbTRlJAu1IQIBrNU/jT4ZIlnxxDWo96z
SGtbcXeXIsxQj6OqxEu5PU0zv97UU2vyb8U+lNYf5Lk8zU7y0MncjWbV3pmo+CeN7+KpKb14JXPJ
QTqwcqIlmye0lAAo0mgq+uBFLZwHN6min6o+zGkFg3XV0iL6corh8Bp3gS6MNZsgQnkcMsSWamqW
C5gwyl5T3fhRvtTeyVIN5FN1kTy2nl8eba37KU/JIcsRc6sDy4mMzg51wDkknYbcYYbsJsdkGjem
mp+aVrl4T0CueAkg3mgYqWZAWenPLq2IUiXZ9j42FXgFwig6FCq+5yDRrIfvd1NWuqtwKK2HgCXs
iliB6RCP2SXSrAxoigdwW3fiFebs/BbrydeLhyWgVAL7IsdnJO1S92ofYBcr0ihOtIexA1oQpka1
8U3PePNmYfx8x/mekQbD1wyjqM23pCjuM3SaLIuiUY9dlqO2lo5x+2+v7KT7jeZlCVLmVj0R+tM4
KlUrn+T2yRiDfdB2H/VkGRfImuYlzktOkPT8C3RMu6siQcyD2/2CD9OdG+IZhW0oxTpVlG7psouC
VqCDsZxDGoVGIImWwT6MaxxjjmHcyOc2b/r8MvqEJ8Ylj2URkYQDrwjhTKvXODKYJ18iUfmb3DWB
wcxXyDFfGUyc6/khNX1kkOAo2F76lHq37swkpPrEb6s4yiIbVf8kxySiUGILy2YQa0rT41KO6eSs
mJltVj+TTvxwI1L1lIh/j5SIgwB2GICvzF/JQ4WONcUok3u7FQKonZTi0OiEndeA4ZYYHEiybIjL
uUY+eegy4JOGBU2BqnN399P1AOIdFF+GPxsvte6t5RpBibvm4Xvsu2pbzPOabpaVyrItKRdfx99r
C3ldV9ak+aiae5P3Ls1TLtY4OWdzvpMVXm/ipSz5Psm72WiFV3lWzg3D0twJX8CdRaaAPoUGbOnV
p9DECyxfsvkwQYG3BITZr75PDHbW3Kdo3TCtuxY6QK/3LWiscd36Xv0QJgothPstM6wiescNa2mD
UKcD8vT8eSoMe4OH0lkZ836ctkJ1Huvmo5038s38klXTwmqaEoIf80ONrAFUSdtYbxXcO+j+Q8AE
t2lKv97JsXgeG+axuLeKzYAE8Y+qQRPceEN4sCovfCJGtDohQP/IqiF8cixx6S2VhOu+555JIvF4
Vmk0dL0S8FHzUYDiKt5U89Zec1wb1EpITsA/DyUUFou/sx4H+pqewG/RKcmC7kT30M6kYXZTwJaA
7KzkYYxX/AlkAJ2OFMDabJX/SlY3UV14Ip1aEn35Ullo3lY0qoj+nR/E8pFMHg2n6fv/YunpLKiz
/Yi0yb1WSpi8IHC6wxEsuyRkcCQezZvztVsaf2tL0eh2zqwE8i/uFwmt/V9dNAa5duzq+S9YAXyR
a8sAKdFeHkrwK/kmX4fybDj+4zAhCOc+OdEVlFFB/JrVZrUqXZiJsPjHd7toFmlUT6+qYjn4k9Cd
KEOUbUxtCvaZwu7SK436sRgo0Gge5FWTROSfBVtMHjHkb5Z4QhUTbJ5VPHojKwNvPuFhXlXIxJG/
4gTv+UIOw7v8DYtuUi/OhIkci8ILPPB/nxuZGdYDeYiRQzPTaui+lJgSzTLHqi8X830YIHKfOnUv
GVxyTkfi9v845s6NHDkl7Gyx7Xp0juFqijRozFl1pcbhXq25CyXfJRFF7DxGm/evEySsn1vgJMfv
8QKl2dEc410GM0PWUmUF1TKaA8Rd2gpz2TZOUJZB+e53slAb6267Q8djLOUFo9Jq12w0DlOelAeI
3v1SSxPw6HYQ7i1FWE+5r2t79i3w5Wg4PxWFbT1BOi3VrAINxAjP7Z8xwr0ALsHPyCa4iwCZsAcQ
qka5d6bBnZ7TuK9WTk4fRcjPv9D5N57XsnZZRWc6m2C7OJJLWTkuEvU+LocG+XX955icJq/662fI
uT3KqvsPAqOzRodzQ12LcjfK/+jZhi8GS9Q0PvvgyGdzWmcmwRnzjM41rveaWK2JNa604SxfoqIe
zsH8Ig+pfW9jC/n5gAZ0YSIiB4J4KJsMRUo/1g/dfD/0UcmF/XgzZ+CeHGbEzZzxJubT/xkxKncL
nIEyMTYnVkgEGi3v9Re1LI2dgy1zIcszsgojXwbLx6oTtwd/9N60fgyPpUlBL4+8exyF7ALqTrry
aY5f5ONDvkTYpFKr+RqSj56/LrxvV+fDRm8OQq8RpmXKcBvqarzpTYE9EE3FRo7ZvTbesB1gv0kE
27l53r1t66CsMUDAXfT65zCSHRGFLNgrVSNnJCoO7KuitaxBzeNam3+NJ04arXFYT5//nC/HM1b5
NzRy8SIJ1ZNIQ/NpCDrtrIzo5mXV21ZMCH2ek54AwOkvKgvLe9G8pocN7GbYyCr4VFH3Uoi4Ezly
SlFBPFt1zQGxVni5H1lirgvaMMWVeS3kVunj/VbdqOIF6rH6ADKTnNXvd1TCAZtX64FUSiqSY7+c
Bk19j9L8Q4v1+LfdfahtOks8kMnlaWz86HUUHOlg2c9NWyirgliVi6Kg1RsmL56VBgb91KBCm94h
JHFxuv7mL5OwXyvs5NxME1K1TrNeQy/2N8RYYIqXh6SorLzWbfbyrNk7sJYzVz9XZWG9ztr3Mqu9
x84N9eeO4ER5EUrV7JoF1qe8Bv/TdFDLrl1a+DYuXgir0cn8C1vZatX1pOU2uo9gXg6qAoJ7nNRX
eSRfYPlRRpuvcI3hWMWdcvgeN4dMpyGNTqJGK28hG99Ec9J8FVneVb4LSJ+JRjZ93+OWMJwd2aDx
Qo4hD/Wu2vwif0jl1vQyguhGeXqsWAbO2hMlTXffqOFMPSajqx4HV6u28Pzf69oF1DX2Zn2KlRRL
Rae09akNvPvppKcpuZJjZoxhdxOg5liNY1eCD1n1umoeWsWnEBl3anK8v03nt33nJUf5Tr5YPZLm
5f04GCa+wfOk+yjpBJpTmwd/svl1J+9Yzb19+QxBBkeYUvTw30fuj5zydxeN8cNIXGW4ZLI8kk+V
/8/lCs36XZQIAhqaOrx6KUDaeKJzKw9rRQspKnICE015iE10OeZkBTvaIospA2SfTz0JwPdri6RB
NKRP2+/L5IlUhUtph9mSONUBIbo63OSLEVJ97iFEifk+8T1utcGe5odzCpRZ8REEECK/L5WT5aVO
nLzKq8b5ViTf/XWpQwcHhFoCJ1Je6gpt3Bd841jWeQYlccWhaxDH+/uhohVXn+QeeWQJzXzkNwco
5akBTdbSfCzmF1IT2pJVupzlIp0jASHUl/KcnIWC7wmLgHuSRyoM+qOqt0gY56vlVYk1/s5wSFJ6
MPe9xOzVDt48AcZI4pMoSaZP8KPkOTlCWAU2oP/L/LTrfRy20bBzEOys7b63Nvqcx2b77oippfz7
4fdZOVmeVefJ7jz5++z3tdqc5aa4OnqkyrA21iT0l39d+334/eeGAUrpSne28VytrlKVPaDQFo0s
Rzujk2+EwGpZ9OaYIc33T43XuGd3ximYsWUdiBZLFoYsVpdeFS/B74y7Hvrug+n8NIw832kuHSlJ
jNTGTxhHynubBH8fjsIfLWGD79+zJY0yCH/8a7YcHrofOC/8+2wzdI01DEM+0TPnOXaLNzw6j1Xp
zXSiqHoJ8AfIYbtN9DPY12oh2rJ8QxvubEffa4geaos3JQvt5f1nZJ9OTcKzCdQqBqXBp12YOC0s
YcYX4jpIjOg168WcWLUCuy9+WemTpHzmmv7SBWH9XkUJ9e6yT24KFdhdTUF47/x1tfbX1XY55L/c
4SlPC/P3fHUMjOw9DigzTqWT3DJsa7u+c76uDjRsjr4onzSrJy/HD9EwOv7w4WiEMJm6+qvBtcet
Fl7+QGjUpNXen9zJPhW4oe9iIOioVxH69BZNjIZC10Uzc2ULBd07CBNNlhMb0zY0DXFV2WatGpGk
z8n45iEzW8SaiP+EIrBA9Kr8cCIlWM1Vz0ve6eaREMN2nZRh8W66/8XYeWw5jitp+Il4Dr3Zyisl
pbe94SlL7z2ffj6A2aXquj0zd8MkgIBcSiQQ8Zv25DY+cEPMqtCoGp+RtCn3FV7YsJexE4lBEwCF
TOKjDcyaml0ZnuIEOxKBdEq1yLkHE6zfjzcR/nNoIHkt3Xr5HDpzcVr6kOXt13PDj0WOLjNNdE2K
AfGQRM6rRthFdoCepXJxlcj8K/C0n/IEP7XlBEzKT01Vjb/EyX8dI6bPYtY/Huc/p/+KUads2xth
8Gj5To+6WviuxQN7ZjQqnxt2WUh4x4+yZSewhGLHzm9MPc6fySCzbIAutnH9sb8AOE82RoJFk/Bk
LNy+e/IdSJriihBTtnv6NUaxeRmTWDw5pjFPtn7NQ34DfMoYFScrq5J97pNCAk1hvthzcys3ZXPp
h+sSZ4m7hPLKpUCmbB2gRfhVRX2E3EzzimTZahbsw7QYwVsUJF9jcQZ69vNM9slRGYfswf8xen0U
kjqQl8KpPU6QxtHk0D56zyFhqkf1wYwG7aMxHqpYbd/DUDGP/sQzy6hq6t7wao/IS+j9bZBCQ5T9
FG4aVCxr/azjmP3cws8aPC9CKarWHr0B02276Jp7S68VZAdzFWsDtfwISg1VEPydmqJXtsj0zluv
K+uDrDFT7zgONYnWHleBu6qvsqUUHQKtW8JkxVqEscw2nmYb+5wawZMlbPYQh07cbK0qoSFgmMW+
QOv5fz/7v+PcVFNPpu+vncYo9uQy/vtHalTs20NEipANbO4afEXWDWpru6JtsNZKYSiumgk/Cwmx
CMKs38v3r4ftvdIr1WM6pN094opfXc1tz0ZFndNQG+0MV/erLPDIIk6g2sdQM6AMippPKZitBgiT
nSz3IN7YrULAVnuoCkA1TTXfyTKbRKvKM9DXxS00Hxs/jO73UelWL+O0xtxOPerCwkrL0yyyxoqV
jBfZdhRyACo8sV3qFCRE8a86YOccXOSh8OfgQqpkrQYeijS/+gcS3AfNqKlsRM15FovRSq5Li/jQ
K5p9kl3yoLV932J9rgYbp8DO0XGAmmLSVj+ZGp8ZaQz09iq9vNe6sIVeUjtfFcgvveLb3/vpSc/1
R/m5wh4mN+bF0/IxR5Z2x3aueyx6IEWQBb5Vuj6vcrsTNDDw0t7uWoNvYl34EGk/ZeFdFu1VWP/6
ylfrZF3ZBZjZ8u8i/jUGU2E8qgvvLEv1GPk1G19N7L3l9y965xivc13rWzCO+KmWXIqGqDEorOvK
OzC0E86W2RfNRTq0hLmDzGO2tgqruXOHyJme22erGlBFCX0WwqatBvsGydG1lAyU4oGyL63ycd1P
4Q6af3dWp7mwLklfQSKV5R1UEaC8sSM4GHNWs6T3jHt5GPy6u5vNb9kIR3/pRxf1NddHFx59YS5R
qlh1GgWQsmtf08buoaDYXVQ/peadqg983Y3ECg9h2JQwKRHIM8RBDsuBSMDJVThW6xKpzL309Wo6
XTvoBvD3SSBNZV/p9dweI40yjYSqgj++zxzPOsuQCMu2u8FBOkRMwFEI6LkEEqFO194t2/tproFs
mEM8v1bRsW4Tr9nhGzsd5ybf4jLUI9k4s1FptXMGKeJcI858nlK4pFrnPeOYNexhM47NSvbJEFvC
K7Lajw5j5zxNMkmjK45+4xoTsh9CydqzEuPGsoe7XqRlKh0rnFhLkIlZj44XruUnIT4xH6HZRTRQ
dsnPSvR7FeJj165f8X/2R6AXbdLBazwx+NT9vplvE19Q7XgRv1riNYyjEq/wARpQgwKKo93LjE0c
UZ8dsWvXbCw+/25RBWi2USGy8yxZ7mwbPQKly/CFEs0sS9sTwJLT8s5Vf4JwEfpHqdmNOdr9AlvI
9P4iczCdBicgJBV2WIxEPR/P0qx1+sMnYECMtxoYJ5mf4V+FlH5fh8IaqLjYYQvRUp6O8ZxsXKMH
ySdGnLIvLvLsepB9AI9VjzSaCFLhPO8+f+RN6H3IzuUxUVRB3drFw0B2/vFwsumJp1A7cx2SMD1d
w6auqo8R9IdorwlP2FhTbwZbH/WjMKjY5oVOpfs+R/uKfOyvvwM3AtGePv/+GnfRf0Mch9ejH0hV
uwtSvc9ASUZZ7m0WIDpJAefQB1pDloM1ngxEdt+7eK25XeDsgRgIgOBMlD0usVzBebMppJQ1jK9Q
113jgmlvgNTowxdbT/+KdGfYdXrbn9ox6U+wNSsfqbishB5U4hozzBo6uOgHy7PrQfEprNrOdLh2
/VuY7AMA1IMLm+IFiSSRRHrhc2kHILuWzeshz6eWe0O0vXZJ6BLKDf5t2hRQYeoYKSjwS11g2kck
LUA5+PwXYtOz1mYFoc6efMvZ6C31u9b7uRj6hnMdbt1MUTdZN2JShHSdaoz2Xa+m7eNsFOqNms/J
Sg7KPi8xIa+4briXzWpS3/GwcqlPz143LBhVPfC3lg/NxjLUHNMhdAtkGq4LAZNlqIRfcgNnwMAt
z+EwVCTGFDDKBm52fjD5K8t2rL28IQcoQh+qOXm73qiv9+N/Dl77q6He+RS+bnrImQtDxEC07aLj
lfHJHyGldpGj0p6cNPfvo51oXufKUTSMnuagbL/oWGRAn4RzLpdfrL5JmwXT46ggXhlE8fd4wqi2
7ofxFIxsHc79ECe3Fm6Ca1aKR6/A/lNtfIil0fjRCfitqzsGvocQIILGbw9q3M73mG/NpE9D9S8x
yR/6k6aRgZb51cF35ssYKrCMRRbkV2o2dNOvo49SkuyShyAWS+lsxtTGKIfbxBs2UYm/KhXKT1rK
QFnFsvAbkWuDUVcwgWjc4tZwmiVMvstgiAOkguf/CFPKUbutBODSR5fSGR/kLSceE2Fo5n+XLXlI
SLluu1IoIguzStlX47K6clQ9u/l0vDS3pYl9jA9FfUklyzcRh/lbFmf6TSizQxkCS9vZJYF9fZ9x
ZCjnwkT1T3wkZj15G19x3I28h8OAuwMigfkgP/nlhp170Itc8q87GSHv2oUZhQdQOMZym5d9g8ai
sEbg8boi0Fu3RBtR06k+11oy73vkSm7BZ1DPEgbifgwsK5l6b59W7g95Y+j66VBTZj/J1rIOaOPx
tz65DID9Wa8Hk03FQw2xEALEyjBrF0+hwT5ONnc07rX9m1tgHi0AAf8WgYdd/wZx5beIphE6olaL
UpdY1kSx4p4LTT0aUcKSRr7NfI4PTYoG9/Vtlhk4Ja8D0nntgxsT7i3Hxw5GLH0S7nXH2Y3hDSvt
12HI6xd9IsMO05xySNfUd9Ruwfhh/UAWbVrBzxq/T43LN8xuYTdh4Er6zbUPfKTjQ8s/bAkRjplq
7n2TDz3ouig6uHATDDtYFUn0nukIOuJl197U/CBv7Cpodg4OokjzZf1zH/bjKcOTa1XFc/9co739
OAdYoBaR3679tD03WjvdNVbiQc5Xp41t8m0LYjN9qOG43XQa4JQ8ViuYlu1B1omQof+MaEVE899F
JF1WoWPQ/fYY3ly2WxWnuDWYi2TvanG6zm04LoBl/fpOiT+6yYERl0zQYv0wNg/LaAebemNWyS7T
C9J4rWm8KSiFruPAjs66l5pvJsWnbCq6lwlo+h3ZtG8yqghKb28ZHZN4C7y16YRDIku6IsBHQJ7a
vcLXHpsnOC7CWwDtjF0fCW66EBtXC8XbdEGJ8ItoXvHLUoU81SwPgavEXF8H6g6Is0XSbOM7Xrbx
BhjCaWocHWvwAHSDIoHsnAesGzHDgaQsBEEww8FyEcnB3HwxtK4/opGByr0TlG9DDvKmmNLpEOZd
+abG4OK0yFBv5WhoQd+ch1d4i+5db9rvnRvhU4P5wUqt8Am1ldD7Yvn6jWlleKlmw8fkpenPRpvf
MZmz3uc26lh5mu1jyAZmB5A2vLi5Zh/dXFUPUT8MUEiMdKPCMojxudxJtyxpkqWnOVdV0Yf2AWvE
PGg+24Oo6clA2WdjN7HMk32+PaAnoevdTkIl2hRMit5aLKQd1z/P0eyfp0oPNtBplTVCEXbPbjdT
znI401ETR3p0PanuXyjBOXfXQ23VycYesHCRfW7Hzgr8QnjGGF47XeNQMZ9PedwiNsf8NLXDVeG7
c6Ov/RhVkkDt40tnl9uKrMwdokfWnTwbhjrZs4t1hcjcZ59X6v1NHVvfp8ha60hIv5DNwEVkjkz0
qrzxvZuQSDV7Sz2aQpjdQ0UQ4a+nT/COqBTL+rEsLBuxvuenENzLlqVF6gavGG8ni8r1CGI8U+Kf
siSNheMXqmPORRMHeaa26rufee0hJP/X7tmhhwe18b5GTvsZ0arVtEOqi72n1wyHhC0kC8YBkoVd
TFSzB20fgcm8LE205cnbFkW9kTF56TT3dt3irJNhnZ37DndgBOrG0M4+8imzEDyYx1OdDPZrOaKi
mTTZByTa6TAPiPmYOoYalJ/GFXSd5jAbTJ2aANImMqT10iZTydfI140n09c+JtPSX8d8fnEaHcv1
Pj7xAww+ksTXNwngkIs1ps5p9nOd6g0qW6pnmB4epHalgCUbu2ozhlgyF61x0+W1AQgLWu+Zy0Sy
DTqDsreMMfXaPsOcGfZcCmdoAipySLoZQfQunlk3fmYvrvkKUs4J+n6Apc+++jxZKIc58RaFrf5o
p/yO9rOjRiAlEmxrzMK5LJ3QITAVJ2aXQBFalVj7XKSJx8BP1DTqN2AH0W3SkTmX3aUKcUzrnX4n
m3JSqDX12upHdy03T7lTKa63Gvmf7Mi2dcc51Z5SLvFPac0HU5jIoQiA7l92ZTxNuEP+1t+I+/Q/
42d2wpu095b+CbWiON/riQ+5X+5yU7EHzn8dUP8WW195hLkB4QWzjR38NOR27f6lg7Jy46M5tpFP
pbX+cXDm4QWFyuq3fhEfUhMR2Onmktds2g3ffLAcN3wqzekor+yt6UGd6xxAo9Tw39CP7tlzssuw
yzR5+ARZoRUPikizUrhZOMi0EYBqxXRQ00kbCloDYNkF8yeH5cFOcwugfKZXX/3S8Y8V2gcbJ8uG
vScEDuYQn/KptsCFJg78qdJNHxL8JVujg/onulKtokjG2kfGq2g163V5k5IoOP95j5FthNk0EkA1
apu+Eu9UvVHWQ1Trt+iHIrmoxaSlLQOAidINB+i02DqPtfWUWu346Lv8qmjMEOdvElX/ljtmcIm6
ollPNQ6Dsnk9JBT/L7KJvy2aHmAb9yg7DRAFXD4Ji635rqKSdKQm8+aMUcoPpYr3toDN5UqY36ue
w0ZGYIALRf/a2Z2KLj6QDwkSvR7qtAWxUTtfrl3yDIOc8YL2xnixjRQVQ9NcIlACeQpNGz+3Mju2
WjN9jLDiNkCL3UvT9WwzNdT0o1zNXn1TfcdEzv5OxYrCRnjWleZNM5TmsRrrltJi8LMI4vQkuwos
3e7aMd/NIkB22Zav7uJEyTZ52BlI1g3NNhjLBFcJK1hLPGw5q7jOxZN9xKOqOUeIHLgrI/+uIBau
1ZrzwNbDOVaR0+3mscGXMS1PErkOnKxb2aI4gIQbV9ggvE3yBpJoYLzUqo5oHi2Div3SQt7pmxEi
1TP6E4JbEvDTsJtdjWp8CkNdf5wiYL5urgtcMWg11DCPNQJaAItpRmMXbbTUjW7kD0BMsiYLtQrT
RW94CAHuzZ5dnNhQnReHYLJevNIwPCPLk911MsM3aDukIoWuHZ+e/IR0x5/WhqeM++vHapUjEGV3
vpddiP0EN0GC3OHUxBWpW1A7Oc4jIKetajtMTvmhNPOHpxjtQ1hr+p3DnWAl+9FORB/cD9ubNrbz
96a/OENZfTjuc6/jcR2myfSeGrx0BZLIBbqv/4I81tJvJZV5pMaARkPsbMZCrW/zEXzsq7ysBIhT
SPSDEhUO2zTkL0BByB6JjIg1zdvNUxyu/xjISxSW+lqtD3JA9/zg4Fu+eaOjrzYG1Yus31jpOpxo
yH0xI+hdVi9IUs63mgbcRWS+bfNBC1x8qvjpFfvBwKWk0SrtvqmqVKjpZj9qrB6ywPypKsOLzTfv
fURvBdlJPb330Go6tIZpHPEIiG+HFNsXTDqUuzFHk8pCGeNCYbU5l0P1wvYQUVbFDP3N3NTWtscW
71EeNLIKdhLblyzvEMl0/fDgRpaeXEByaHszcx+ga6h38hsZp/YDXz+VXCvfQTEmW0DevMdZm7fB
kO1qiyv/5ChYDo+sLbUkt29y1KF2uhnmL5CWvg9+Zn8XoYPZZOsiTOzqKwY/ybEnFXZbaPGrVZXB
0sL1tbiV/aMYtOrw1adeeJT9CTBibWUn32vDfKu9ySEVw8HgHgqLUpwOgBanQOVz5gYqB92072YA
Tmq10fFM3RRo1ewWONJCw3OS+hU39WoTeSyB5D/Saaffm9dRWdAzsONb92Nw1vOEt/uPbxAq3cYG
8C6qQf8cyPXytveC+nTtb3K3PonH8Ka62FUzpnZ9ZxmXURyyulRQNo0pWKRwSH7rW2IaJzsEk/Ih
B+QhkTPkKbIQ+TqPnXLb1f3nA0Z7zMlBBYWGNX91Oss8+ELhKOwbFCbFzzEKHcyhPBXWSuOGL2o4
7WU/6XuKVnh47WQTpa6bOE/qZzwI0oucXjvB6yIg4JXBRR300PmYQu/JA6JU4r18SvyyOLFFD5Au
clWAvn0HFIGVegR6lfGW9EG5kqe/tZcJv415rqqvDKMsDkhquneO0t7L72USdu4dkLd7DRPG8xgP
GeJ9iNllWVlemjFnJ1TXa7eyrGecNZuH0plRCIeiMVWBemOTUlsbrlq++SgCb1ssHvZyUvdT7wAX
zCeJYY51z7qvEsiQfk+Jt5us+19jgV/YS4tHYEeihbdDCXW0rZXkBvl0g8SDdgMK3ELndgwe4yy7
TSUPrXLmo+EDVfa6ubl3K5QdzBlPu3cFzdMGRcFbf7bG+9jOei7h4YdiJtO97Fr6k27fsCW8hBTU
ln7earzhak8+CAGQy1KjCYf8Ruv9A8Zeyrs1J+k2zuPi7CGIekGhvtyYFJu/WCYCuWEGlKCFN+cZ
vFJ2I+6B26G2NywF14jMRVnN1KPvrqscWF35x2UZ1DqGt2Ux59+0efjUTqj/bfUe9SXDbMvDb1vV
iNzsaJ7mlo3RTTnqMEGt3DobMWLUmhrfyksUNbr4rBbTm7xEya5C1SBBkWtdrmSaHVeXoWvOdawf
SLAZH+0cdSSumuDWLbz6xGwMdiA8vmJ++CE3Ar9CK9CzqKhHn6GN7we70UjCV7Tmr6FeXznn2Uh+
yBURBtXBsixyTOUWFr5zuK6U5HJpsjXoKVMCu/4XY6VUnqvAT+4kh0WyVmrHqLfO5BWgdOG1lLl2
qyite6h9HcicE1RINWPItA0bB9xcOSj9DdJHf00D/9Uw7PqnydfjJxf4YGb3gAzC/kncW9fpHLl7
2fQSFWfBKfgiW3JOUzSvUzzFFznJy/wWsbks3lDOVLGPmdUteeng0s5wXMha4N4pSq7yIAfkGWm7
8GxnGYyuyZtWvhXr3/ttINZZZlwh+tcb7kNpwmF1PUBUs4olXZqyLDKHPN0mNSh1XIWeYQgF3/5x
gplHKHvYaSwnblk5b1aa7csOb3auNtZD4rbAA/Fa3w5+G36t4fF2LQ4KFnV/iyXFjW4hrtqZ4w85
Lifa6GOty0ZP7xDqPTqsDR+dYOieNCGdKn//M/fCEluYlWI3xVs3C8hXh1iBHC1S5E3tNuMCMEbR
S6Ga2zYHjwQJD+ZZuK97PHKNofU+9HDpVpFh3atJ+tlN9Kz4GLX52oAM2ksjrhzsFbpnGlIBQTYi
EyVNWBJ9rMsRyUf/uxH4NdKUeBU9LDxzqysA0tkQcrBJ/ctNEVxI2OHcOjqXMgCAgHTR2nx2m/Yn
AsnTF0vzycCMbw1mSoeZ6uGlGECr7yf6Om5HCcnz5wlsEozJsLhIlJpsottcXCRKba4RF5Oj7E31
XRcn2ca0sG8adLU7OXjKPmWxcl/xnMpzVHdLU0uc8S8ZVnhf1RkMzFyiMSuSr/yrPqjwas9R1GO1
qHfxIaxVxBv9djzYpjY+DPCB5I5CHlIvsTZ6ZZW7WvBrEY6eyPJ+RtSmzcZDROT2VKLUyD4kdKpn
9J7zB8NEm6QxoubCeit+tl2khoVYCA4r5q7p0nbfzGBJQtvauax6IKr03TnOauTrertBa0gklAtd
uwXDFj4lJnsA30eeazHinRplE9SYwsjRSIwGCqPSwzc13OBpboLtXNnJ/WQ3+THxyXm/UqlPDmGK
WIyh4lawQFILxP6oWdB2JG1JtpFP/bs99+amm1FphgvuAoCEixuUClqnGcpOsikhkBZ2R/gMPMme
zCsRtBTxsYi3NGwhrvEyxG3/Nd7I8mQVhdiB1sLCtXcMfaPkzUzCwpv63YKhLpIhIi0qarxapJzn
NJ/OuAXK/W2ueumhpLK1jsR212idHF6Gc5Y7YLnndfIZV5IqvZfxFmaBLFhM+2AjbXuioPyBwJLA
EKvVc1zhZesVIGiRaGzwYJySepur2ry2G9Zyy0vQM3uGhsEqRWYY0XGCMYcAAFe8TcAW/gFToPrB
RYTktk8dAW3jdSt+tDTloAyTEUpmbWqY0vvaqOHui4XlWGNI4WWmsY0ij9zMr/WlPONXlJ98z4TL
zrpzWXIu06bmqCezTYWviZAf49NspwDa8NyMOxNFdMrZ9P12KAZUwHKvWUKuA9OIwtWK779xNlPz
q59R65Y1kcIK2gUG0UUa4v1iQNb8nRzCKBxOOh0/GpZoWS2Rw54onsoBT8Nk60fhphVOx1je3KEA
Yu4HC+qD/Ie12OvexkV0D9/FQd3SKXcoCVrLv04B2bnOwqk8DskY3E8hJiLDNH0PVQWZdbGGj1D0
NzZ6niHW/BbFYKW+gkmcYFqwyQ/5gmxilSLyH3mAhUUqhxtqisvwNTkgo6tsVtcuMmPL9mAKlfrU
c9uUT/vbjgFXFlYEEeI38qW45grrlBhbeUSB3bxSdqaNsBy6qmKL7YzfwD2x2cXcU7PgKAeV/Yri
TLAd0yY+DogQbmOhuyMhWWnqBhcwt5uhKlFgkE1FqTcyIgXs77qZ0I6NzFt5GKr+Z0764nDtUsFG
3QZTGB+hVr7L/jzT4BDYtTD0DS5ulYUXeYa417w1M4Sjrn1ywNStaF2W5bRL8yA76VH/fv1ONxmy
dQjBvUfihxChUw5JVXKyIczw61V694SyZUI9vaAI5KO9O7Kb/2EjLl6M/o/IgpKnDm7yMhi5tdUL
ozmrGlDRxvRmbNbRBNCMCUEL144XzJiHbNRljutXCSiTMDIf97QsR80Douy4SrvS3uVPCOCHYH2L
7i4boq+mGYmlepgeUcroN7LZgtTZ5EHpHmTT8ZXvjjtFd7KVP82ehRehTIvMPcJQrY0wT2bomJ8J
3aS5KAz05e4NY0jqdSW0kzKtj26kshJlxHzdhfpOFdAxyVaQjAZ5thwqCxdtJXqW/dcwRffrrZFX
NQSvornF0367FDL+aKZBfRhML1v3WRM8cUGJ15QMpr+QzrtMTdhAeh3ClQNs6sdsjD9TfhpvGKcX
EF2ViAJP6+wRN21vjMQz8U/DKU0vlWxnD/WPtMu99GhnpE4Tq/7S69M4fJkBxqMQBTtSoCtYRn4e
rs0imkgUy3buT7iKsMP4tzjZp3dbFBSCi7xO2eJiBeVc5wJYuit5YbpewOSobAZeoG8xg/gMuQ40
FuohmnkXVFOx9aHKblCizRfOszyLozslcsq7azeXod9DlZn4v0M7K61+C23T6B4M6C2mqNND0ivq
bnCt/KzMw3QTqq3PfRtLhK4t9A0l3v6l74duNbMi+9pyiV/IRb6lrQw7L1G4Hb+5+Mu91UNlrrva
xS2ApCCeDpW9DsEXfFUQ5kgHkpA14MOdH/X+US9085FNMXtqEQGf6Rsq+cNT4pXd0fNnBKD1znjv
TGojImCKYZzi0VHeooOnXxybaxlwcuXsctG8KAJodD107UfXTNn52iPPfguF1bXBd2xcX/vIUm0c
aoL3Ud2Uu84DrGLZ+fzU4+1476HRCZx5fhpUZ3oqG6tn56mNN7Jpl0p41FnbgAoM22pt9K+aPtSP
ctAUe5ExJdstm6zauMDN1tcl1G/R6VTgH8nB2mFN1mbBCUAv5pUkvG6R8ELYOYpb9IHxr4abStJb
tGYt4iBC4nnoDnOSfJf9y0HOwjCnWM9zYrKqUvObAszUyi7YArq61911/CI3MGz6N8SsQSEF1s80
WVuKmv9EhRzxGH9+9TxTJxFUm7fA9PB1j9V+u6S/ZtKRub9JhJOVN1QuwuygbWPPm94pyCMajzPn
Ke6i6d2Nt5mImhws15co0W2SKflnlBJVyu+P9Stq7pHylo/19zPWUbjxM3iOyrRxM6Rz5zE2H7si
jvfoJUM5EM0ZsNBjD1MdR9j5EvU9LWfCWE2zyxWeNbDFFTzM8cDV9WMghsNg6G+1vr2R85cZRYOJ
Dxy7XYqSJTOmzdDjgbPwqMcC1EvZY5qTjCM5/Jh8j5B+L7B0l0tgoPvo06DELYdTMRz64ecwGR9Y
lGK2O2F0E+vVQ4+Vq4bQXQutcqAk+UctALzvybZb6/jHrf1aC8Bm5FTmunWU6wUZVsXKcDOiqPNv
ZYtEM+7n3lYPNW5gw0qGAHvBRUFu2H8NywE9LgpsPkRFRI4iVLlMnkgI/z0D31WU2NmZo1WbnOYA
ne7lVLZL0SnPug9cJ5UbeW4qYbr02kpO/DVKDv8RI5uB0kNuS5OPLPPq5a0Nff7DiFEFpz74mX74
t7csshRq2ufLJPlGrvkKOWHIcnSgnQklyDIQ7kyqCyohKI5dpIcnAFGfB+w5GEX2IQh3197arTR8
a0XoEiCHhGJM5mD4aZTWvhFAqHU356+qWdigtFvnYUoiDj5q4ywWl0bE9zZ2rZsl3B+D/IhMNZr2
Ij4WB7UxSF21kb6RM+RAECj52hFP01dKf/BLRRjngFsQjgd6c3LyFosYt/eRhnaNFoyP6M3sJMCp
RfG2f45YMh6SBTWgYeMnTXnXJkYFJiTOvtWU/vO41P8agFxt5zhzoSNQOvWAFh8LQ19Vqhc/YGlq
ADLCXmr3ub5Xhi/IFyRvftKXx15YmEiJGxWfeScYs1VFmWOXD44PpqbOnIM+pTdz2VML1VxrO0UJ
7nMjtmZljb1dYdt8YR258Gs7vomDi+wDN3RjJUxERCKBhWuCSSS0bHIHsa+zOqu2MncgR2hcR/4O
+3sOHEBSIEluUL7qBTe0HVcSuyvp1NUEX3SIECL3TQHPGH/FyGHJxLb1/D/mIUGCdbjRPPmk9J7t
wHnXpzr75k0Feu9V85z11C/AUHn7oimClVWA2KPuFd2A0cMOrp3ctym3uO+QI8jRx1i5tjU8/P8R
nZW9NHXcYnHZNXeLhs8If6nvQYW4WgiIWUr/iD5EdZXzH3Gq6Msxat+HasPmHvT+LtfK4BwqY3Fm
Ue1s+6RWng0DHgn25/4PCydvzfhhjC4qnVqlPqdizhTOwRktnuLsD6YDVNr3n2FLfM7pzn/Mkc/j
DXhOxm70qnGBv4BR1bbod2DwKYoA3ehRBEA31yDXSXse8h/hmLA3Ey0fgZFpJeexmc/PU4F5zK9Y
2b+EmP5wiwro0XP7g6Z19vdEtz4KhIDQ3NTCXVOp1akzhhBvAFAa1GrNDxFa5fO88tPsJ5U5r8F5
2enbPcqu05a7NXYTGko6XBXrp7i2vuSaG34tcZdfDaNWPmC1O5wC1Bk3Mh0XafeUBqy/4sb4iOLe
BLekTQfVR1gmEjdFXM9K0hg4KSDRFD/nHvlDJW6OgeqYUFIpv3HHQgq+0ZxqY4cVS1F7Ml/bDiw0
yG+UCYsAXcV0yhBXBHeYbBKdrPkcKej/MtB2VnIWjm3r2S2tU6iZT43hR48DdL870vi4t6Di/zGE
GPZU/tQdZdMuP3ydPFlQ5Wiip0hNckUJP8KBpKZrGc0lil3jGZ+cvexHo47rYOKxiRYPJp7EBQW1
QjTdPtRF75/kwXZTH1Fo87NZTTEMn07HXOtXSA1qI9q447gaeOXbqfS7p4ZLx0074iQnm/qs9yzk
8IoJEuUWzEr/pBVlhgUdZjpyELsgknKWvZaDclLS6wGWYkpx9M2OHYxZjXyVZgzynN55VKohOUKv
CPdhlTSvds0WpMqbl97Vh5tGuNcJ/cJSHFzbj264YKTcKlz7QQ7kqgJG3EPPQvP1Jl6HQqQQ0Zdw
v7QzV/ueFJ1z40s5QzEP8ea12cbqnXwUFM/02yEudoPSFbsemuwNblLf2yjJvuE48Br6Rf5i9pW2
b22uHHE8+0+1UfxbQDVm3SHvyUxqTrJLTWxhofn9iHwf/KQHFtLsfZj8qfE1GsC+d0GkvwwNNqxB
xhci5r61L9tcR/pjjM/Iq8MVMYbmYYZsDlhN19/QSfmOWMFwW4qKj7weh323NWKvW/RErWlAPWHo
HuLxBU39CKsfvQBZnbpvvW0f5ZuCicJOOEUOuc9xFmF1lp9VgUJwYScVamjcy1ZeWd7RjWzE8cUg
YI72EYGGcT2Wobq/9mEW+Ocsy9CblZwgw6zRxg+I9cv/OqvPKelACG4EnJQC8nXG0hbPUU/diauF
fwYcGT4NhTfvLA/GjDqkLBjxvOLH5PDVYz8AIiRWdyG5FBawAhIyMkomL3hotO1AQvLN6tl3hOqA
U1LnnUMXUateKEnNqUpRzEgTHC25QBiEGWk4/hYm+2VYlyH5QPV2eq8AyMqwQEs+H2389WiOeDTZ
FGElePPVDLz44pvs4VNZgeSG8WZTMNqNDiJa4PHYCiihsOF1gzsN+4IXX0/Xst9K+uY0ISi0TkJW
+W07aRt9KoujHB15MxVqlY/2NJoPtj8Ci+HB9Ji6K6SvYCub5Uw9XHFr/ySbQf8Tz9oK/AovyA+s
DSJo9qqOUWOegyx+R00NaQezfp0QVrtFlLtFKrCK3usR8dq8L6Y9chLR+/+wdl7LbStbGn4iVCGH
W2aKpCQqyzcoR+Sc8fTzoSkLsrZnzzlVc4PqsLpByyTQ3esPqh29KpLe3lqpTb4oj/aiuVaKYZ/0
OLmIQYXXwyXM3f4gev+cWw4zluzTPavE+Dg3MvuvjVW3t1GddX+bW50+QTtOPMX3uZv0Re44Y9O0
42hpPgotXGS5fitpOc8RS5OEiJl/nfQpno0iEBEMdxVrEcJ+UzQCq/SI0b0dV/ugac4wb4NrXakb
ZSWGwAlaSJ2vHzu9MHYIuT4FqH4i8ynFpA+RS2rl0sBbqM7TnZTl7P7dWlmJGMMx7JN6bDBiTw6a
Yr/imYXcwzRcXKL3kj6a8YqTlzTR+006SS/5NmuX1vLPlt4pZz2W7tk9o4vkV8gk5LgkCUgnubVP
UWKwiJJRt0cH1dKXMc+sK7sof6SdEX6dCvnvgs5RgWgRhdFvfoiC8rswBf9XMf/XLcSEoEtP/E1Z
IkpoYUldPuxYAPQvWdrv4rQOHppkykApQb4Q7SLM1RAaMFk8vfBy2fluHD6AU/tHmDPNJsLktvkQ
VrQSmyYfWel5tvebDgNq9f2fs9mOXK/FTQ3SXKtcwr7YDzAiiwb4DSKRJaqGXktHkeaKebxceoXc
wtwrhBwGyfx/HSs+hriRmJm8uHSc7zt/yPm+ord7/xhDULdbeIXWMjJsMBOOczLCTr+RJVO/EaWw
wgvFjfQeo5apo20Ca1E4qrxIx7rfikBVNFZlsYrNsjrNg//TSae7eVms38wT12mEka245/vEl7b/
ZlIxPgZYd/m0HyZVQBLLlv/x0/oaigOeJl3+BJfYz//897+LmNQ25X4rPvj8b/63iT/cP3XNZK01
KyGA3/rRc5OHMraFyO9JNh66nHb6W1GFDAfgIylxruwmOb68ds95QH5kUuITEZnqfxiO3ec/httF
+nF4ZWZLMdn7cBxIxkUeVvLJazjENCeQc6R9TcYh+E6WlG0sitRoRtrQCTFw3OZuG917pJ3/EhqZ
1Vtob8LHEaGDUvyMum6pW0H8qGW6vo5HqB94sdoHgH/AT3Grexins7eyHDp2JIuah/3PDD0oWpJk
W7M8WihTWmOcLlreuku10zEXm/IgRtmiUYQaoI7T670IE+2WZ2CzI6mkTFvsWhpUWQ+iNF80PBDI
OdpvIXPHp2BRdW0tXyYWWECywN0pcksYD57zDYXhCmGU39UQOHcGftXC76+VxnVGRgENkRjEUJAO
kx1kd8Xi0bh3URIDKocDtz6JuSEgGd9xKA8Z+RcaieEDFOD6oZSexLZbVHLpSWzIM1Rq/+yJhg9h
n8cINADfv3+OEQtNXdeqB7l6FlObqWdvHMlC9354+m8G/vUz4Q+mLv0eJ09ZbrKleDthWCAtkfXX
r8Q7DDFPFmTtMzC05OjYA9/Oia3g5/rHKEU5waltn9m+vEXJY/ktrscUFJwcIGDZK3tHdo37sHNf
SCj53xoZyNaodTZKp5DZhxHxPiF+G2Y/e9nOvvTTQPiYyr5C/ODe9u0X0Q+S5ePA0CvQw5lmbNNf
YmAHCnYTaE/VaLRXVeRiZo62ErgZBWKVwSuzd5/EN1gKnB917kVPpAiKtWp30YndEhadfxlT9E/C
muJ9TDuNqf00OvVFlhysWhs3arardEndsOgocBOyjUObtPokn4Cce8lvzCer9hrLSLlAQfEWTrnI
88ydvk8vOXoCL9jM68tWbpKzNobRdozwQdaSSXwVLK9/j8mnsx71yRey76ObyuoVkuBd+D3X9wLJ
JQVxuAzCfrhl2e/sG3RlNwn2To9m7ryICMVQbzINpGbefJXSQbuNJqbbmGPIhhUAyVtqoj3zM4wJ
Rl6ruVyzTJfwmdzoseIuRbe4mLJG9j6RzqUICcPn3sTYG1BEeNKqzNwXrSfvSHUM14ajx2vbCquH
asAWxwe19xXhoVNWTvuziH28rsu/8mx4stoofB0GpVzGIPvvPI3/zTqxMStp2nIjftvikpp5j9As
P3Ur+2YEaX3MUWDbyywgFh6HEvX9MKD679xILUd535AnzVCph6O5ELq2YdhsA8UeD5Zg+qKGl2+s
JpTwwRz1a9LKCkqtgXcIS8CRQ1M/lh4QychS+12Iotm9Zis/EcjIbr0oGpaZ2i6htpLe+7OU6QMK
QF7U4Bk7lf7sZblIG5vIt94/4zK54vFk45c6jfoc6zMqFOP/nPPzHf+3OC8/JpYnF98AWMcQXXT5
jrc5IntV16NuTNU0kuamz/C5j7EDXbrF2K4D1tTrroqo45W2rdgE3ojgrvDQ7JI5WCyLSLlDqCvZ
agitrnNyLAgjfuVwz1lnkdbu/cTPH9XROMGwqb4adoTAPLJVJxM+4i1+T81CdMQJD9uhN5tzii/q
MTexPhczSVa+BwVeoUeeG7u60NtNFVvaF11f1QUgPjRjim1v8s6BxPfICSwSCnHxQ0DiU1+xtlli
jGvBGDErz5/2d/FR4OenQRWIqcwnq4ds1Mhq7FLy8hJ+dEhbL9o8sKwfeiOrIm9jK+Ds1H4tl3YF
5AfcOo4E+3F0zXvDIIkNGxnFmcot7vEmwxin+Jmakfld8aRTUVQ84Qudn1irgVIYgLiGscNSwpPx
lAoPvZaDAnFNZ4kfZHltjB6YfQ6w1o2pFa+57m/TJLS+j6oEZcLKxztrRLWYfZSyDZWyeMDL+6cx
hu6t5SfIHIewOlTV+FZ5JefOTmk/uJ4ar7uiyq9V2Yv3qi15+87sG3amZrA2UjV4NHING1n+JN+l
0cWusyOjPc1Uxen4Jv4eYMCBqloVLVWtNTmo6v3rzB/QwdR786vB1tfmkflElrzZGWOPHaJXWS8+
6Sh95yQnAb3t+lx7cMyTUAsWFWBsomdEUG3q+RCWnARAt3/r+WOMChkThhhPxKhHGyU3mjWpFvWV
Y/WVYGd0ZeEvCyw8b//viDHI0gPI+tKvEY5a4A+LWUiKYbSHVWbH3wRBjI3N1C8DXIhN1MFrUlK9
BsqY9JeIuOgOcuHnzwVm9huO2BpWbL1yJ2lS/BaRmec6ze1H7MebbVRzaqqUuntve+n3y02a8bX2
x+5BIZm7qwApbhFGt5bGxB4E5HebaJZ/51lxda617oHcbf4iK0iJcTjB23SqKvD1Fl0aOdeJ7RsP
JQe8oj1TC2vfSUoNg8TIX1AtIIXEGu0oep2XDD2/l0YBDFLIuMT7tpO9NIaQq6v7vRgDnWyjdlLx
wDYxv5FsNIWxtU4eM6XXIU1myGafeYuuMzws8T+lNKodJT81P7SFUYUde45U3Jyow/c6XyXZwKPi
PTUmEl+iavaZf2yaBwVq0rFQRw7x0uSh6XMIK1MTYOaavMtUnEPmqijZEk7WDby21aeOWM46tNUx
2cboFl5IWuT9ARHr/lBFXn8wbNiGl8agTJaFotp70TGHiBGXONFjiSFz/xwOctRG0sHrVh/mFkUn
jpwFiovDKigU48BDxTiI0nyZ2yI/fOTgljyiUabl4m8hc1tVub9jasO7jBv6/kcNf/OlxJKrwNfw
SxYn8k2un0OpB1+Ta/o+RQrzAtMamwQD+ijBHwyI15zKFSXRNkWYoK6OIp8r2sXlzTvgd+/c8Tlt
7Ny+sTYNV4v3nAlpF6V7XC6x5KlteTW3NfCHIL1LX9V3QXzRWSkbp5eii7K+aIEvFPFArur92E4C
wpzcbiobFWtoUm28JaVVLC71YPCza8Uqs+v+vUe0wUb3FFwK1exajAl17CcvjT4s33XYoLGOu8yN
WzX+i2114Vqukbrom6bDjS2CPAyG6dlwjVuBWofve4OA0ltoHXU4c/gcaFtwRP8SWiqSuWSvC292
MjQJ1a66MXzDWFohbvGz0PNF35kjL84K6JiDP3WICeIsHJdVO0SI74NWFDifDmjYcuzA3cINBJko
Gme4oqFW/dL0CoCUfwE4irZ5hnlWARfqrKE/sEdc6XncbNMe4Klim+kdPJ/0LoJ2i3+bZPIuS7I7
O2rTu3L8VpmecysqRecYV0WCpYVlqMjrqyTXgc779rrLGylaksm/NxOtO4rpAsCd19DhNqImJpjv
GgN3XxctpPNZwV9I+89VJ5swfo4eLmdpf9FboUKZJG5z5TulA9tWMNbL1viO90a8rz3NXDhprGyE
tm+DvctF89fwKn2LrFK+mEV/RekS15wMuYsuoXOzDrZ1QXpKvOx6QKrLaFAw0p6MzUTVKetqL16S
eje+9c7VYAquUtnYW+q09HNLLFD8/ie4p2+xVkcvQWIpy2FM9LOj1BNuleMAt7TrK9XFC9jHahBN
KlPHF63JH3E57Bbj0GffhhKDTQUm8SIvSRvEAX4+AsreAguwqvYhHvNmrTYJUiKV1wJaJ/kATZ8c
1dSrwIO7baSSny6dlwEcijduNVyGK4XXkaCEyZn4fnKrSnBpirRAydnsofFlOFuWqbsDlzMuRRV4
nHJSDeVV1Bqsvu9rm5MMIr1IUR4yrUXPWFZvLtER8NnUbYerYOpUG79Yl1WvrwMyAkJCwcAlYZlb
dXklqlhCnDXZ8c4YBSWPoTXyHkN3oWjD8dRkZE76bsyeUxylt87ot+uW98dR68pfqQ+ESly0zK73
fcK2sUVlYG6P3yNEm+hFuBRbTdl11+VY8Fx6HyE6PlXnYYDoOJyH0b/6FCdC5htZJsibRdIrry5U
gO38Weabz5OKqS7VCnRJWiHTPX3kf7+FMf1rG5hsSJo2+NmBBqmk0nxIhtRcNtqg7NpKMjhYkcuN
iv3NWoa9+uAFkrpPeRYsRRWuvn2SVPNF1HBnNO+iVl6IkfU0XPZA0Xt2cRYBkuuCWNLN4RiMBvqB
OX+NQhrKE5D1NYZ9GC0OiX/bTJcIwNVq1H1lJaqiQ4SoY7vRbbB68wBfgXpNqhVy2zTJ5dIjg1bW
aY0JSpjuRJuYKft9Q9Xy1+3FxaCP6iMiU8Hyki51bMzYyCr160s9d3gLsa52dnP+tJKVI4hwBM2m
bConC8kZGYFLfCqhN1eE6r1IzooAr0I/j2N6ZEoNVbqGYrRkb1weBbAV3eRJ0pvTj6u6sC/i3aJX
rVu0E0XxEiOK74ECGluKwZeOCUzrRfhrWKOnr9peD/MNqAOUG2rvStM8THOr3BsOjT4G+UYUge4O
B19SINEjPsaBGoKkG6ie28y2oXcNEs8EFFcME4v5DCGTIlxk0GoDhEqAsLc1+phzW49w49w7l/6T
uPYvY6f5Og8EhrBI9iIVtVW2bV6eKa+fSlkVqa+9rCeLsVD/0dtPbePU++9xopcDi7e4T/eY7/s5
LkCDLUOIfzqrFDogvVGvsDUIyLNzXon3erSC1Y125VSt0gr2T2Nhbu83Sbmcgq1U9c9CVWQOFtNB
UX4LFr1q/YUFV3ObK/pexdf7KSy7/hrmxvfcHqqnAO+7g2wOaBJNnQEueHtZsWPInvTGZmSRkles
tehNHQPbvsREDGAKbvpxwgT4+RVLyvIpDSUQnnLv8dieesP6TkeT91bUuiqF4m30975j1Y/gdURr
ltbm2UU1pxlsBx4tUjaSVgYbKQ2aIwna5ICxGQ5JJCrv5CBjT6PV2hd0dg6W1um/tKZdp2jTfoNE
j7UT5073utEE68q7m8TysDD30mOqoEEy1VQJERXwBfCPRT0c1JqM7hCuL9VJQUWUul6yrqpA215O
lzypG1b10CEY1ykw99COxlOvudaDEZnOEV3HYGn72r1jRSYINaXwNxwfsAwVay1XGn8lsuJcsdap
F+wzo4NwIDHkLNuU3ViuRdWrpRar0O7XiNMGlCbjoCRufi+8S8bhxoSg/dV0WDoERW4+honWrypH
M278vNbheyrGlZQ13tHwwerXqp5ByyrsZZ1Z/XMRuz875HN/VF62tJ3JmkGxuq2b1+ZD17Gktu0B
3s2Q7cU5ihOrtwjY9meUS/P7MVV3foM8wWjbHTQHYLPiLEYMSnEmjkpgt+XSL2Kc2/MKhnetWqdm
8OzTXM3sYuFGZn0cC0kfwTUSV4Set44MrVuWftqto0y2FxiWlUfXk39ogYdzXz9ieu+yHz6aojiY
ao5xclysY4vPUfbWCYAPd5tKWem14/QH5l3jeBV0ahpNOeaF41fQyh2+uIgnWEvXNr+YddFf+dXo
njMyJ9ddpYO2KqSzaPJbx9qNUCcWuie5Z9FhxY2zUr2K/fbUJi55YRaLyAUG15PXCSfDxFVShOWN
h/T2MpH5lpcDB5le/rPCo3bRmK35qERYbRdFHV1raEXuw8pgA+dzPrvy7bF4sXPr0bDt9FdbAn7f
SyGUTVQGR/Qr5J7zVLTEcgO7PMUI/XPlhlhScZqA9BTAYtBic6gVexI/01DaJVHr40X6O5RZNcmO
HwJ9HBZR5nabIMOPqe3LRIZiFyxRIrk3sWjDwEQu12qhDKeaHAtSZ42xBTSr8daNjKXrctQL6fUM
j0r/JSE87AZS/SOeKClRmhfbqlCaFf5kBft4XGmt0i4hwWJ5L45vEsW8ky3+tXOEh8zKhwhDt+9q
/rMe005l6YYvyPYDT4isAHwPdonoPuLbwLHwc6pYGhJEhbSq/RhPqD4xHpo24Hc1aTwik6qd+Hoc
k0n/UTRVmqSskFBf+orjraFE9ndaVg53viRx7GAZJ9EEurI52Fr9gy9ilqBphbqTaTvVVsSKEFTY
lZrXuqh44VDsNBWNf1EVFwncKgqNGMuLQU5bhjcWtgxzRFrCWdWL0L98DrWxn8MJIAGstAUNbMbX
hiIV1xXsxGVrBME3z5X2MtoQT9AgzG3WGuqWV5/3HNtAWqcAMbJzAQfXcr9w+MX/q2oqukXGcjTd
YiXixOWD+CrHqtpRzbdubUobcJs4E6fBB6fRHC8bhAKz5krIVFcIdO0gQMpLwSiq8NO5C+FbJB4J
oBYYH0pOyKgg7QJAH2fyrTpVc9xJ1y7PEx5pyKrMvUI7QPSiYsNx7XuwqEZJlW05DMWS185Otjyq
P6ZCCtpWFDwv8e7TyOTsbRGw4TCNVdaM9pOmm+TWMXs4jXZQHkHphOs2qMLXCjxEJ8Gu70Pc0y2F
3GetutoWFIq5y8s0ujNbzO5ECLtSPNpH6yFVWdtommqvAnIPz5pjaavBM4adqA41ZJ4GIuZJVB29
XvPcle8zVS3uHb3if0mRnka8H08hvu8LUXX1ttqJKUuNP++bjm2g2d3RhLAAFlBuzmac1Ieks3Fu
bFCVl1SwsKr0xUBmZB12UsBJZpHe65rzLUeQ4SXGrwFt6+YlxNWeVJNc33bTpTFKJBjt/DC362mZ
snYOVagVxIpL2wf2TZRt5hZR6uMQucQCjufcEZMSuVLH/CVt1GHFH7teqp5ijekiLhXsT0oPOD8e
7Vh5+HqwzZDy7oYNuFRjIZSAEUoZDp6VPYraoITV+c+mcrKRkbrxEiVqfw5UQ47Zl++DpMmJcMh7
+ToJ3xytkdW7SwfV3QuR2Vlz1nZGd1UkSASJjirLcfaLTeB0seV/Ds4TU71Oxq+hz4G7Jh8uggDi
ZQZArkxWLEkjpGo2kd39wlPNPKi2YxzKqVSVIFYXH4qiK+g68+CSHdxlenUSTZ4EZNToWM34kYy9
b9Ake9QBEI4JqXomrxr5iVN98140jHXjoUmJLV3XJyw88G7r/ZVe5tlCx2b1ELF5RxXijxLW1m9t
AGz+0TuP8NwYyUZ5AJ37l7guv21LPSD1SMC/h4obznGfPo64oacZLwgb9FeZW0kncSkc5IsUqR6w
XwVWMndcqn7PijHKAFi+j/gUx+sUj0v1NDdjNG4tS5zOeEIUZSgBL8gLErVDcRCl0BtzPA+n+qU4
92OGUC+10NAuY0SHHXNAvBBFcRnUwN4FmbKrx9G5yVu9vIbJsPDhaCbrGNfDzRB0eDNPdngiRJT8
HrFPJFi13dxRRc1lbDvNNLeLSXKrTJefOpK2BBs1TSI6xOxFG3NqgaK1NcqvhYVVYphU+S4q/Xwt
jBTHSMqWVRjIByFM5xjJypdi80HTYdD/ZZCIci3gL/x6/9dBnlHq59y0f5JHwabAdlAvIZvTY0H+
JYRdsXJMqzipcq8dS3Rt+OX5yqvWOxt5bMIffsmDow3wAVAQB99FsoWgOHyOu1yLQJIqVoVOSDLu
mw7Llm56RJZVot+k6LgvenWcZIzaU+OZ8ZOs5i4wcEfdGnU7PBmOeRABtZf4yzgJmpvCH8yjrGYJ
i+yo+IZc0SLlpl9Is0vrAYrLXul6757H5U8x0piohEYxynd1m+Hc2tcG+tVR+0VHtkdEcNhVonVJ
J0xvdIIy/yHsjYsDRqoE/U5RsX4pJhDdqOK2pdpwsMxO9h+aSN+JdhE2aPhYGRNUT7YVUHcN7jOu
aXlitk9hQtJYmWb7M0yNkxcWp5hCs3u5iQaE5eSib1c4iUG/EIfKc6M4VBZn0XOHBqAdMT/OrOdD
aifERDopIMPrMqq3/FSGbWaU2raIffM5aLQ1x/3jV8lFvamBsHWUJSk/G36SLfxqkL+SBUKQIEMh
t1F1NIxBxK3EiKHB3Z3f5AvJyQJ1m6vAMlwUTEz1EVKFc6kKGa+5elGG0th1OYbjXrSw+yqsrtru
vsLda9GEdnJrxkN6O0boWYPpfozicria2zVcEncilv9W9OP6P+IubY2qvcV0STFAIdOCtdsb4O5l
qDgZ757jXA0x3RNVJ7B4006XqE+qM1/upR6XyQ1EauvMgt3Y5wMUKSNuYGnFnBxvDCctVl4dN+Fy
zIAM4vyQby91qVC/Sh1+mIhHWGcWXNY5wYK3L3z/VkwI27y4RjZpK/oUnkTrzCvcbabUWznLx19T
oY+NS6H9Xfhnl2iRW2099l3wwX098ftsz77uq/hCjMIN4b1NfHswFMW9m3t8iBPBXW3xFXKy/6Ad
aAqQD8cqL8kLkXsIVHd6FSu3Iidx2X6L1EYMsWLvquOt2ZLiXpSTTsMo9d3GazNl2XbJsJAtDI1i
w48f/TBHmQ0YuzBELpGLuRgim6q87n33yrwS+5UCq8pVa1ryyW2U+oQhCVvToPG/l3vk7+rF28sj
g4WwCwHwZAsnSJID0J8pMxnU6JBMjV7UJgdxwdL5rSSqH7o/DJ/DTcUfN3oFJM4fpBMK1bzEsIOU
TqPDsYuX5tJG9NgmlgYraxKB9RI4CyLmEi76M1dTTmTOReXSotkLD0GUWxeFKiR1rGtBQPABoh5M
o/k+cxJK1JtX/K2ajYgYvT6/spvkWs3RSEIvH92KKY2BCtrv6kR+S4LxrSrQdnNVIOQ+BL+PTSfD
KTnVU9ROg5iTTqhDcQGjMc/GIV4pgZthEcBvcIMXnrqIClI/NZg0c68PaX4kERwBiR89Z4OExbdL
VZ160HeKzT26b2gOuOnWsgtrE3iB8WiNLhkgMBiJ2jy2pW09ho5vbkATaXu43/E54H9vEU54jhR+
owOK4KtXV+jg1EpyUqAvosjU9ysPXeMvdV8taTG/50ONa72rpOeiS9S9rfXWZsyNft/VUEKKJv1i
cnDww6yzXWe65mspIU5hQXZCa1TOD1XDURjCmc7jeyhAp0too+t/D9Xc/DKrb7yFVlNo08lvs+Zm
/2HWmKMq9iAgHbKxP1qI+exYAdwhquqkq2BqEx3i0st5f0S1tT8mprZWqh6mzNSkehH0ys/FIZpc
L4OkX4nBf5vrMtBm17rDDmeJuh228+1isL14MhrUHmP8TdgyNtGxnVyL515hcCx680aLjmwi3oJ7
Nw9XrYXa3fRDk0A+AhyL9eTgTr9G0ZjqXb+wcjaBc1skfpyiW1xEz6dxH2LAy7cL/Oz9Zm/nqrbN
J9hUBIFmaycli8dGl+8uFx2wnlmPR1HDC0I6VFr05QLKGloggI2qDFvRi3J+dofIpJhMtMRpgpBp
kUhLxDvkBARi/Fj+OVvBbBdI1zybmCBvBojp4TIU+K+MjfWmts921JXbMivq27hEuyII7P5p0ODm
On6hfQ+Lel2LJKDpmyvTKLwfiosRa5mrxpPsZzHi7LJ8m6ZWsjUiuT3kmpMfSBOU29oyYX70GQaG
bDVuxKWIBwvn2TZdz21ebvk3mSPZWzNEPPlTB98mlecr2+j3ScQAUVWc+N43TXcvaqK9HvxdBqTm
KonMsw8tpVo2hbdTA8A9fYEYyFjHOrsgp9jBRg4eHFUK96Nl5kvR27hWcVbHmg17GT4E0hA8uIP0
kgRmBjCU+HDgw2N0Vm5EZ2PY/UHN+dxRo1cYofkANJv2/tIJehmOjyvDN2Voo6veVjXJOIuq1aIg
jELfWdRKP3iNJuH2gIzVxo3j8Txw7rBCHBdtcY6MFyYiCV9YKz+gwTP+tBRnCUwJTlHiBwsl7txf
cVPe5Hmifh0LvVhkCOI84Zimgj93hzvWnv3akUvtGgsOEzlzVPZKexyvOtbZu85xrZM33TnU4Di1
kc/+UCLJqbW5dY1kur4tNL3B0I4jX70FNKnXhn5KMj3cYPvenls/jFd21SiPdRSht283xRcrGx+9
amx+unmKDK/HZ637H5EjBd5CkvXrQcnNr+ijsrBRI/85BPewzENFvRN3zhIQr5KSqKuGszFtlbMy
R8KDF6RcNYeydvxboyV5LHWRS8Jc8171IDM5mYGjnuZ1C3x/3Bk4Jb8mUiajA5OhtTKFpUiDybJR
3LVl2txAD2aRObWD0bJWiRrKe2sa1Rt8qxXzuZ5IbZrig1eKG20peGtDhuDVoHTqIfPN9MXEZXii
uVlOmx2UNteWggQnolqIiNCR0uzFwMD3PYqcmbYUbLY5SsxlJxcGHdjCDPw8UehRylu/6WO+k8BB
0kI2lllo8H8zLbfFpZ1WTebAad3cIYK9acTcMYilmGjM/zJNCDv4AJ//VuwmTCOyFp2FNwZQwugp
Q05EtLuNae0r0+1QDccyBFHHGsNer33QHfarjpbcwShuH7rEh+wqy8pBdFoq4FHPNpSNgAKg1Nbu
0bpEomIaWupJfaOb6Ul0epkk7VDIUZYs76zLuVequ83WLa1xLY7B+piHeuwqw15US0n9WbSRcS1q
WpwtpMpPWMjJ1nmEsCsO2Lqi8Y+5ryO5lplk9wvLYPmV1n7xqISPLtk3b9H5w02NYt0XBe/oZV2V
yp0CcWBT6Xl3VJACvEKZV97yD6xvtXoMVyXLg2et9X5YSZK+WBxv4ZDDSRIa7ksOc8aqXdiqXK/a
EEaU6Q3BQsqcBhW8INmQXsqOFgJABw5srU2JF8XdiPsOGbRcQpQ3v3JUXf9lqSGShnb9jUmNhdPk
0toaTRludG5vkpxjbbFjISmBzUSfJbuiCvWj2J2IDhFnobhzicvE5mUY052vGnD6pl2M2PeUPcbf
qW/v6xZDEqEyZgkRspKXwuavjU0Z2otLkIifI7uSL4gjpfVVCiHwpkGz8E/bCzVDvAHxVE53JysM
DUm5qzDsXgPsU3d2y9auKTTkAsswuB/H4dgGTn4tmkpFe4vw9UkYIyjkY6UPb72a73i7VjX1g+UH
Bu5NkfKUNFm7Kw2No/1ck5/SoZDXAW41W9Hb+JynW5reXoneJMh/oQ5RX4vOHM8bL9S8ey1CVjeQ
fl5myKqEPUZ2f6kpvMTRkuBuMvk4q8SiHTmQ9kpykngpjrHnqjjGthTuJnrFMfaHqjjk/svYJOT3
Jw65PwT7Mkvraapo6hU3SrHx3vp8FCvxzUMqkZ4Q2bkEF4E1+N1oJ1J6Sph8jSrLuZHlIni0SlYd
k8a+7eRs/fzQ2wAq0p/b0DoAiO1IuvT5ndxP3k299uwGOS5bnp2uDHI/z5ZtRQjz6+6+LoMrbE2h
Gsra3jKN6g5WeH0Xp364ccdIgbtKm7iYuvcqB7JzEDXZMBFYZlCc8iNMs+ZWst3hy0Otxv0XX+oQ
OtS0cjsk8WE0M/zTcQxB3ao2Hky8gBaF0Ts/eRuhdjbEXbowcs96CODYraN0jI+oW0fHSc3QHsab
IbaadZIDUemEJZ6o5z4SQZdNaR668TaK/XxpmukZJ/LmWogcdhlGyEPNs1hUjdCp96kjxUshspdi
63l2TXWdh7zhUVrMz5EzUY91TDftd4fL2etynIAWigBneKOmrG3DQtFqbhRFzrE4KhbFlJXhJWie
w5LxEdAx0Ea8M1v3Ya49qzwYl24mjwdRDeJshaSQ8dDlKJDLbf5qBJH+bMtavnM8ZzcM9j1Zyatw
4okIayNRCsZh64dNeZrbExngiaOV5QdXpFyX3Y1bSnDWpvHiAqNCP7ZhdmUnWLH54XSEM+lXktHR
V5ZvahshKqc3SHVWg/M9sW24WmjPYQUCLVGkhuZYMVQeSdhNsaJTNPkoynm2qd04WjHcXrAd0VA7
R3GIoCeOuR3Hqlpc/ot9U3mri+5GA8KHKtMPoRoPzSxek50pLprfsQWBd1Ga4X3J6/+qUi2qfhIH
RwVbNTGiCAznpsxKCHeVXu7al9JJJRg+nXsmwaIcePO8dJntnkGNuecWec0N3FdjKdpELOAg1Dgz
M92KNnFBb+/Rc2ofwQImGnxZO7tffA/x3YvkOpoy0dJvCv5TSqVjQUApG+xuG04l1GneSqJt7gXL
EyJGGVkHt2bjVY1lvebE37otsTG4tXCJIK/dqizoaSOnTkchByevyPaiCRGQWuLFhUd3o8rXl4gp
Vsth2tnGWO3ntlwve8zCeRpj7IezKmTosDwlmlFg8iCXyCVMdZJn6lXLRvZDm4gpREzhhQ+2iuKl
aCuLrOoXl0gvs/XVPK+h4bpdIIUkN2yNdSmWbpyeHWPdFcl3F0O+qJGN1/+h7Lx25EaWdf1EBOjN
bXnT1VbqlnRDaCQNvfd8+vMxqpeql44Ozt4YgGBmRrKqRywyM+I3ZZ7hPPWXCGXATmSI7GtEo3IH
hCw6n7ou/upFuvJa2Xi2eXGODDesptOkB8Dh9a54qQxorl6BYYSHvEg2Ob+qSmefNhxXWmm6V0sC
UYo3apaeSu3Cw5H7Sjo9NdZWlmXNEMKQn5d7Sgaus6+33G2mjEvkbXajuz3CQ379qgfZpkJW6S3V
3OjY+BgOd168yEOJbCnbmBK6XoioTQtgdTPFZn4HvpqMMRqRqyavkDOVzg/jEo/dFCmVKtibtj4c
JeQa3VhA4hMrBE3ptGc5mCN8ltVsx2a5ko5MRVTZNhYTa+m0JeAadj0Piqk9m0PSnT+OyeSIbUhZ
6MHxY3xUdKicgRJpz0PNxndROdoIZDsBloNCOtJeDnhuAXVLv4C4m17dZ0Bazn/0S4Rmohm0zJTB
2/R2xBpDsbyfgddpZyPBRErO/taUPqV0KOXKaZl43iYOuUFknpIOOAxN/iNv3v488jY5t0DyrmfS
1ywDt9G/9Wm6g9VGMe7+iFXROdHJYY2VTYZYbQ/JDKqatWX+0JmDcdBZNd5Zbu/eoU5Y+LuyBbGU
4fK1tlorRPnSHqYjjpsWmYB8in5lrhojvqd/ETol77o1VnbZD2tesGD8mJ4BdMNiNOfhVNeze4GL
5m6wtcj5HZn5pvSs+HlusR/y50rdzQ0r8nVZBM9KY8x8hRTzQwxOHqoSrukSKwctGOwDeGVrJU0c
mN1N2APuR+GSZ/BYP4DEMD5X1vDC5rx+0JdFzzImLRmDYfmh9XtMIpd5ZuVc+n5MAWAaw+XGWbjx
GxCF+RXM6givhgg53PTqpLlEtDU8fJKK/i7R3eCYOs09jx/9c62qGOcE9X29JJ2iucwff4+ViRPf
YQ8A7YIkraXjSNypTkF1r0V9VTpzJ1cuep2U+5G8JSwZmrcBS/K6Ki5sVpOjYc/gtUtOmyhgR30U
/aZB35SR1X7v5nHahrZTnzysO56VQf0l4162CDwHuf0UwNw840kYbcsBsg8uFubaQYXwPLoumuJx
8yAHrCObB+lne3K+KnPJwO8+ibhNqBQ4WUicYJCCYGuO8emXSkOXx6vslhuUpuPYxyRSgbEFmfZY
orsxhBgbtmqg75149FCGJgq172Xb1HGL6THEaPUbmTSESfJWP8ulbeS5D93YzRtrKZAWvXEGBGKe
K9PDWWLp8tDvOrm6j5ANXXLolvpoHag9nkcKpfzfsWSQ1bXJNnsFirXYxoECBDOKFkuy1vo6Z8an
LLWmf+vqlQ0d5btqtg6sU61/hjCjpttO7es4BEsqzHUfDZPXxFD02V3RhPWpdID+UITV7uXaZR9F
68kO8/FpdML2AZlN/xBgMLMdeCJ+I2O+pqqqvXGP+IdScdjq6db4TaE/LurkgjTbl67F6KpZDnIm
B6dXVl3qKicxwJKu0exUFEepjE21mu7krw8RIvdYxV3kj5f/d6VfDccoGn5IF35CKqoTVqqtyyRS
ttIpB9OaxpUdZZ8NoIAPdRNsXCdNL9GipSxdWCUARJv8AwqVprPpreER4icbAraeDtDgaNgrGqg/
UrY17oq7aBwsTIpVsjRZO3z1qFXhL/kFXZDo1Jg+mtOZ0n9tjPCnNg7Ko6rWqFbUHav7JRylzHTj
TEF0RpHdfLXtaY129vCV/I25n9Fv2sn0ImxOeq12n8xKMe4gUVVrmY6MLc807L8uRadEL7qP8exy
WflSSu7OaKfbOrcY1mCL1vIaVzS8uRYFJznALJ2xj3wWU6UxzpVDEiW4KPwO+Nuk2blOkig/VnD0
cPP3SXIhx5kpN/es6HUvflNwdDw3cV89s4j7lRZZ873rHBzNO019wLHDvXjc9OuGndH3OOmfU7Wp
PsERT05lFfVbmWDNPxQf4DIQsGAf9Vp2ADzfvOVdupN5VhiNGxWdiXPYwjWf0XA8iCslGtY2JYLY
ovT1X3aV1cpBl+Vxipvq7loyxo8TX8fl5asuh9jxzx5A2JO0AtV17hoUscI8Zq3j5c52GgJ8oJZm
LavrLLW/d56qHaWPR5j34Op6ejHTditd07JMYjvLJns2cPRSEICSLykHSR/Y3fTsJIpykm97/QuC
oDgkiAYaCAWkoflZKDNF4AcPv1v1XIQPUWV/FrKNtPAWuLaGbA4lcgb9gV9claPxqjcKld9Cn9AT
Kcwvkq7q6goEOwWmO8ll+bGnbTwT2U8ZtajhHloszK+ZrhJbh3u7BI68kGTkQO6xzZzkJevm4GwX
Yb9qQQWRelPYRfUFCn0laSUZkCZAiOolcbqLaUy8xGe1frHHOqQWCitEBiUs2ZcIZSNixxXsoGg3
s4c/loQ7RTzde814d7uefGQRU75T0JsdojB7NBKy3ENuzohlJ94nLbHyYxzjTifNRY77Dh1rMvPL
qDlW7mOjlwdpycEz946FZ540qJXeI0s9P0jLsp0Ww6ya1dUy2dKnaOO3HSDJpSkfPI17y/zSuzky
3bOaqPu+wDdjwb0Doqxjde9ALd+aY1yvsf41WW4VNoI4jXLip031AmJSgQBahuNN1yDf0MISU6oG
ZmpfZRiDeMV5WPB1vMAffdVxHx2tzV9rON9pobwWkwU/crS+SKvP5uJkWL2+lmbXhYtjKtm3a+xy
wWis75DV6+/7cC7vcwVbTMS9mm1rx0Ac4xxLwdAYEdjn4JVht7OwskJuLZoerTaaLjpFPupHrHQg
AJDbALzCQ4Am9L/3pqSKulr5v5pmpL0H/zFXgmW0z2MLQzez3rK1zS7o6aaXxrfSi1vX5t2kbqRb
em5j3RIgfdz3yU7DtH0lo39c4xYHwC1Db7jXd3/EDWoDGl8Z9lmoOD1rZTueofBNzb7VKJJI2f+a
f7l1fgCf6KHd7Knwz8sDtAvZEiNbIIyOsnN8vEO2g+WHl2HOWozq3lv5qNbSqlQvQVhj3JZIt14g
dLkbx7HmL0M+31lLuTXNtZeuaqK33PWGrVtr8V2hZNOmcc1f/WK95urmsMXeHI7R0hRjoziun5vc
se6ky4DqdglC417GPDfEDkjcdpqie2sUsK4dPmiz46mvBVT+CwXndNXpg/paVhmZM0Uz1zLaNYa1
3Ffhzg5q7bVSDQxNG0c5yGgZzryFZ3e+G5dLzVryEHiZ9yiDWXLw0t79/PvjeliFPNJPmesF6CIO
5Vv3y9MH5TWd/P6BjNJ3cxHtny1MGWO17TbSVCZTgzVdgnhvteLN6YZfjqU4R8rZyrYcU3vjFAOl
x9nMEYTuNJvl3lT2qxB5Wzad+BHirEg2Ngjsjd4dDfJ6QP0ziEQDJhhnK+qgCwXxyN5kOXW8FtOV
lkya52kUyEr9TcxZr+atYFrrLWx3myTG8nkyNCLlzgJRKfFftRd17M6620tuwZ1we7SLNFh/yB7I
qRwmsgdnVt4raRkqehd7OU2U6p8JdOH1KtL1ITtBcQsYz1W32Obhs2nx0H1SR9d86jLMkDNd1Xdl
2oAbt5ucPL+XOMdrO3PSU9fO2kWi+65sYBSsgxqU89opJ8TMCudyDc1b4DBlSx1ZYuWA5FWx86y8
wJSTT7Mz9x/US76PXkuiJsQXHeWeS+ylHcu/kNeiGmT6QesS91FCAtcIthFfES9fy3kMlsNCaDkM
tYkv6nIVGejc2V8sKLe3LunXQhamW5/K1Fs7xdUOzkDIn1PNTzh0DistQOs3zNOTRGRxVe34PQYn
AA7zU6Ji4EJuPf/fRIQZ7IQoY8NtuRr3rupsUkcD2HI9TmYUHS1Fe/mAdrme8kvYF7kRnK9oF4Gx
pHaPhJQJn0wpdjz200+2ARrNQvrpVxuR4i78X21hoZDe5N1n1qbAe3xy94iVaee6topdUMTZJ57Z
75NsxGFb0//l1bDXykzFdJzd1TaozPluKLX3SbpiZWcLJsmVqY+cVrnLSFDfOPp/8vi1hf4vfH/8
NbN6lSDPzy9QueOpVm/8sLReux5KtGkowS8dqWT+J5MnB0BxV5W1+831FGU1eUH5kve8LQDhoE6X
+kjsu0NwwAbVeZArwQfCeyRo1VMMQPlUhtr3cpjqJ2E3p0sXgirXLrHylqilS1oSKl16hzVVw60s
XVOW/5OPuE/CENlJoiqXZFdvKfo25/6m7sQC7to5J9G3OG2d4y33NZT8pW2e7gKvPhW2rw8AAO0I
yOdVmwNvteSAmfFeS/v5O+/dCOf1fr6LMlN/dAZorjIQJVEI0d9Pnt0mIrdUqwbSF8xIfZzOIZZ+
yQbUzXKIzId6sqO3lp2ChgbVqm2KGPNzo3+s5/4orNN+oZ4WOPOQxn6RHruqXlJKeffCQ50SdEKg
U9cnGawGhACqzHR2MjHqnOiA3zpg0YUQy9PXPZsZimsyFzmOfOt4MbZqsfujiZToeE1b/6b8p631
of/6HmwM/dp3xdMJzJInxo92mj/lCkQmpw3DixyiSPlSVYW1v3WxjAovU6IheJIXIGfQAwBToRYe
OuU3u7jCUHZW12anZDGUk/7eKX7ZPo+zYXbV7Vxo3gaFlfhZDlnLwy5J4vjkLNkd6UuNg9UE7ZM0
pkBLz+Fg/bjNmczhswO9I/w3QSVhNYhJl1JqbxpEw5dIT6kQQK9BEK1kAWdaJYDHjseUqYYv8FAN
zGyTjszfMppOFWQSw0ZNgrJnK3a3rOUyIJeFi8rKiDqt01s/U+OuWgyBxqoPVq3VmZ9VJxq2oASc
O9WFy6MXQbfLwhawZeTfoxmnb9K4nnb62ME/6urkwZ6Bki0tORRpYqy6jgqHNB0j9k4wHMuVNGWW
ZuuPSpM4F+nqrbDbu5UL3n65iNJGNbZrx8nv5udZs+sXV61I35T6tgv0aS+uk7lrPfqZMjylc1JR
aZwP4jrpt8l40loKVtKsUrh69SJd+/+d5KZw9aalTHSblFN15lWla+sKnX1ccsE/iPs0CmjRcdDT
HBB8jTe11zQvkLbtGSWcP2OHpo+OMyqJ6wCnhJcutCQ2jk3SQJ7NkxDxVmWjgtqr8kcgiu42Rn9x
B5ui5+GLV0riYhiydxbvlNTASzyt7eOffCNpU3/Mdgo0z5UdtlQa/wziW5+Khnyon1n/uezts9Qa
s07DHVUl29YKMAGHffrhinc3ss/9HNqP5YA8qW8kO+m23CI+Z344rgUGn06xv7EbyA6/J6m1jplo
jkGdNsd/TpIoN0U1SyZFZqWtU7Ufz6EDgF4bEXzF9oRUfpm81As/L8sz42BQan3qYRyzpiIE2YWV
RmHzH08djHWDmfBDoUc8v/Ui3xkwrF773vs8KEHzk3czubtuevNGDH6TutHPZWRgUgv+aRPjV/R9
+WCqct3BKXmhO1kCh8krs62lqePr1CcYD1QAtfUxRyLPxuIla9T+JKNzjwKQGQX+RUYrNTg1nu4+
yaC9L6exRea7Tp5Zix8lxKya5D6M0dpylsvPWaOdcp8tm0yRDw87VV9XZn4w3dT4VvrIqS+mlK7V
/UooLH8u3BwVF98xTp2C/1QM4XbzO3SYWuenT6hD1uSvoU6ufrjq79B46N6vqvTDopNnf7hqjvav
riflM0YWxU5vc2VPVhIPa1CrehiVr2CpjDO26gZGg0P1NUs6srphmN6jiZO9cBM/SPxtejgQhhr9
X6fX9vg+3TCtVKbLZX3PgWuVQAlvik3eju8aIyIc4hmdi5Fn+iKtRvdNAyQLIVFlwNrohrMMtPYM
SWksWjyoJ36BvbTfA3HkQzXh5cNkmfP7Cn98pI4r6SYADXf9LmYG9W+m4r+Kx5lqemS2qOv9eZqM
xbDCitbcyHimKcFZzmZdfz+79X2YLcOei6bA+/sK3OymcvPpPvEDDxtmbSut28ECIn8PG7fcprYx
8YQiFqwwvyE5dSrYk9YUHrmfpvsP02IfYQ93INMMVErew/6IRo2H0sROmjIgqHUM6T8OXN/LecPe
xEthGH3Yr0qnG5n+7nZZuYS7XPt/MCDBEU+50cuUc6b71UVJWSGVoX6SlhxytaC8ugzKoZmCHps0
1dz8MZCbanWRvoQLH5BUfkEminpsW8C0WcnkvsBqZXJj1BaXqtftcKt/DXZBmevWvsXAPEVaOozr
62SlrpodTG2kYxYrWllNIJ+0mPgsC4ss51+pNkISHrIAkc5ccTL4OnWD7bWW+teZvV8kJ3Pod5Bt
G8p0+MKIOczVAsaHmhWqWXhyqj7T72T4aiZzHa/L6L6DYo17WKqHQP3zmI1nhGmGQWbzDFDLs9d+
R68MVUiUlDFuD11X+cBBlnAJ1MlVHouxXlnj0No7ya6bSoPaJ1IHO8m4g46eupXTRCqw5yXxfgtK
e5ugMHcKHHvr72mlJMjUGJiVxR674bnVP9+aIm0tzcyDxKgvnJbbqEhb35pXf9coBLWek0dBUrPI
3Weoremr+2zbQ/OqZU73HLfVvjTj5pU8fIx1tvflOqbayxcxVf4MBmf0E44pNRESV8xsAgN0wjiy
SlpGy5GMi6IP/V5Gy8Tl2edMLB2W0dzABCgM/e5ORmGTvCKf2CMwxuAiQS9fLDYK7zjXyvAuyiU1
2KhrkNuM/GR7bS7CXO8aXcuIU5rvI2WkgQLlL33v/FPI6zYihV+52l8vJCMzWc711TNLiWHe42pt
6t891X2abBsoTO2WG2NCV1KacJLMx6yx3EOMEs3KWJoyoKZqB7f/hzRuoVihvgJfdU7SNc4W5ok2
HjMWGb4D0F7/bA+uf9atEgFFIx6AR5AEg5g+YoS89KH6eVSt8ifqL2sB8qhKrpzZ3CH+sgB40hnx
Tqdnc4dEj/GW2+M/paUZD63alp+XSUPVNmt7bMsXq1Q3vjsW3yuwymsNYbdl8QAsjwrxTmdP+kmN
3XCFbY+7KHAQMtkdOVPcXPD/bZ5h6rCrRJQyglm+LaqhP/QThvMNAkldWKZvda/E5zi2w430y/QE
Bk3uxDrizc2iuByOATLUFnJr2N4iZuak86vv2fZ9X+mnWC00TgD7+YOWHLQogd4u6dvfoz6oshe0
epPDvIxKcGCNDUuPkRYv5DCOoTi9KvUA/5+Taw9DYbP0fIwZAEpv+1TBiSRTxkeSNSklEF8DHg15
hH09rK9kjr90oTo+upWf+asadHps6PFF+qyK0gXwl3NPXm7r+IbKAuY/VcZrscxE5ZPF7fHWH/PE
uECUxAiYMuSt3/G7zQSWaMaSPeiQ68oSM9m1Abv3NB8r1F/UedUskJa/RCw2ik8+Pha3CM1ECVxP
Qw1h36y69DXaB7+JoUL4TPzC36JtpF/ZpTd2qBUHP9SonY5CIpV+KvcTsJg8vI/N4mfU6/N3Nq4Q
qMqqeDSCXrkLYsVZU8eav/vDcByTckR/GYMXw0i9XW059VdXH1cSoITYWZdRHZ5JtajPWhA/dLJn
A2kDQruquhfNr76LVAFk9oYlvpI9lTFlMN9Ei65dNAwG5TlxQv2bbgbetuxH74iU+f7qY58a1M8p
Ow1rJCfSr1kHhF+UmckWmqXp/WvV2Zc+M5svTYuAREZ25wmJjQRMmwXLXe/sc6xiF9N5nn1VeC7H
BI3XYkZ7kZLzSz7q9UaxEnsXLvtRE2mxx0oV1ebqksZDu+0s6wCHuQvX3ujPFwcZESiKcP+g2/y1
6bb6buA18zkBLIogsT/vAcAk33KkpBJMuEmPpiyt0fyUbm7GkLrPtz+il3uUCuuLAgF1PWT1g2qF
+J+PfucB7eChfm2bJnsxzLD6ww2AEQfFVscJ7kG6mtEKLssFMjVWVomiq3tv0rPHYHH7BLL2ye34
yaZak1+7Er3vD+6AQpw/5lQk+XUmQCdQ1Vle9DEpQJxolK00bwPSjFCAQyPL03ZD2YQPMYubFbZF
UI91CgVGBpRJmm6FS7aS6NMdXhTGW2b+nMk2vHq5trXtwGoQA4o05N6hT45TAuQEe529NC21f+/L
lz5/CYkadauT69sMi/NtOyg+3Cv0BdzEMl+kD1nRWmncZ+mpB5cHacEu0SrCR63vwzu4YPXJBm6G
ZEQ5fbPs+NTGQ7hvTKp8r82AgoSu4vsKiGHaI2QboQGrq+vZiPuvYZ08pllg/jvG0VoPPf+HP3bo
czWh+alSynHr2zBNDMeM1nnT4tFplvexauMyRmkiWQW+0Zw9J+xfgta0DkOlFmu/BBm9HoCPDqDt
n9LM7l+gfhobz3Jg/IWwUYYQnZDlUj5e4qvBhwt5Iw9EduBucaMZ1kIMkIEr02CynW3gjPyaeIdf
Mm9co6TOa6vJIF1CfPfPH9q16lNWsJO99MnBKj28shJuEL30H7zZ4nHaWeUptOZvgZVMj05f8sB1
B20Xkna6SMQ1rGbHEqe5i9UscYMd6fvYVPEs1oP+7PSoVC/3o9yGcnvGJuuYRE8cEvj/uTXBnHXn
rMkfJOLW78aauopB9l7vbBkYTCs5T/rBi7QTefXgUumL/WS2qNOOIPAox+rdcCTPf5I+OSTL6N9C
BmqFdyDSWSrGlOvV4v7KYdGQj7oDp7fqu/AfCDraroz0clHECT4jO+/hb0SCNkas+VM/Leyg3H4N
lxbVyPTZhZYkYxKvjz9MtLBfmnBQPjlT+pCj6/8gQ06D1EGuo84s4apJvd0ecg/AP9dSNWis9iLK
J6OTnYUHN3PKjTKSiXwXFJmnOkQ5KcewQcGLZROrfbCpoBpfUPw3rgcEU/C3U9zsHh+K6SgDfqMa
l1ucGwKaNSr1dI29zQ3aYt/m1lkKqGqpkgZyfB48S0XWGeN9nbWgMlTH4ZFrArume4xa/TL3fbGS
5ow28yHqsBmQZjoC1lTGPAekkWn3lg22xq/aYiXre5a5yNOk5AEnG+LztXlb4H9of9gfXE/hBuEa
rFtnLKOSOzmYaTQ1K3esKAS1LYJn0pahmTcSlc7eNbdV7Jh7T0shy+H6dxa7rTCCsQTaJ15Jc3Dg
ASJa7hz7kzuPM8beiXkf52VgrAocVQAq8b6RziBmpGY3fw+0orhcTbNHUjvsgUrfwcTNeQoXKeFp
qSXIWSy1BGlfT6W3Fn1gcPvjfpmjU6rbvDOV4zAEYcHzLsfk87VGOWTv+KW3TZcmLszpxp+y6jjx
I37FID5f6lTzRZp9gxcdaKnn0kUUwmvwBF0mTXZdPQRR+E2CoNmjhb58QIgo3LEA6bzzgANhO1Ll
F71BOXYdNbUFE6B7E2SdMljlpo/87tDDOkP1xX9v3kaLWu8OgEODdZ5UvAwmr7YPsrCL9Ds0VfSH
67JuGLRgzQ+w3ssa7n0h5/QHq+66lUzol+WgDDA1thKDn9Oy+gMHEKzLOalhkVUFMjWsvg8+idyV
IytGl6fSwzSdc7vmQdY3VGNxL8cpsNtY2ZTsxczc1AeX/Ah4BEPszKl/4L9QBFtHTQOm9tFh4S9j
ELp8hHyL/N8aCu3j9UOMgmy5Y2FpLl9TvvBt1vWLYgzKw/IHv8vy+ndIVNDbFgXY0Lz+5TKd0lh0
8KzmKTW7YwwRiRf2IoMningieYcfwyqB8nZXwLP/jz7eEsjmXtlEijusDbAsh8jpDLKppYIoWJQG
UNAMpTw2Cy7y1pR/rrxzzOuo4CRvTRm9Bdu8Qt9c3/3WeZWDRkez8y0Tew3DSnblMPv/gGNkPQeM
CCI5/KHaNpt7lGmjo1658bHohupeD128CmLT+xS0DlBp3OuOup+ChbZhjpuJG18EOurbasITLk0u
ghaVUWnOC/YicBi9BVuB+gRxEtvvxnpAsL1+Ypv4TXY9LZkKQBtBdrSHsvo62CfqeLzbUAAdNtJV
4r25MuzYPupK6m61zumLPfwuTHAzyt5s2ifm+HAHpxrfGrmx5C5Ihw2StfH7bYCzjUvhKZ8/3MYK
KGA2ZUzT6mAbqgXcc9D3WbixKic5JBNYeF7jOrJarF+QDpsHHpqVDpoGtSQE8bq72tQvoB3aXQRC
/7qbUaMUKCC5dCimfuUfru0476J7sOIkdEFZXvtkItykczR9zxYBC5GymIzubeoAlUoLSHXzlAXV
Wz7G1fkqh+HUINGWpq9o6RFxOBXADkIzgLtbd5MppboSxMCf4AGQR+jxuJ0xb90BFdKorg5tWIAK
92tsSTJdUbc9CnbPSeOrzw6EXc3t8Q5ZWkPJE0wxdJT8CuAi6zasuxVPauUYUAR5jnLTuV+ul2NF
v3GGAUePDd4JANwSR31kcwBnTOs/yQEK7K6PVe9RWo5p6SsldtWTNINJtbZmW/lbaeZ11Z1mY+Y3
7IXDJ71pml08NOZJxxTugfVvsB5DMt1AwxIwzvTJAcCivi0idVhrmhY/NLGN2wrLzOHYR92b9N2C
A0Xp7rOat7ll804fkgdg1ePpOon8gHaXYHsnqKJ+HM1TYSnBlTUm8CBpXkFGjf1xtPnvZrc0SzST
17nhlHeJryXzK/VMbYvCHe96xSe3gu7OombkO7ty0Vy6HbpFoCkBY7MDUNbz7mJUUWtK/HJqDqp9
se4/9Ei3zJJrqhN8HW2guAGZGTxQlviXKLS9CxZVOg4mFXVxGZHOVFEIqhOkMCCFnY1yblV+ToS3
UThsgBApwG5673K7joyaKktX3sjokBH74VJyWvlttQodMsTSlLlT2RxsxWj25uTBqHMaZCGpI9hm
mx0by/Y39WK05A/gdwYUFk662bJnm8bo+qy/PsDTtlvzD9Xdyy9fDmriDfwsynF3fY9FXtDxeKV6
G4X527uMPtsg61KaWrYGk5sfugWkJAdIlSR/5qc079rnpHIKxPZ1+NlLQELF7q7qepeS6Bweq8lS
nq22TZZcUPYjUPTHGXzfq1Xk8b5AODvNPXevRG1zidkHb6fUNsFhWPainNJ/t5vudH1O6zGeyFnY
/GxwYoG9yzXCVl186o3moUv5cQ2JSu3BVrC9d1DFqpIYq2IV6+DU68CHWi4Usjp1TxkFiX03+OoT
XLwW71Yv+zYY0UV2UC0aFoVJXsTSwYWBGfyqDm2zVZKAv83Jpoure8MhMOf6bgaeM3f1bmozgzUx
aPGlYHI9k6YM/NFX+raC9hX/QLeBSql9/uWXK8g8isq0b5e9XXso+VjfTA+3QbmMpg7qyWn+LQOM
jbPF8bhb3I3n3mv32TSgg/tf/X0wsp6UkMLPFrnB7JMTB9HF7NP+OJOhZklIiUX65FCwH7zIWRp7
BpaDw1dpfYi7hSgD1dRErdBG+eMyt2tZgedsbL0vyNvxwbeBP5ra1BrrzlHKzW1ADYZobSaZuaEq
4YMEiNBRx0cIzQsd1QLdM08yIAcVlgJC+HKUDmsJlDOeMMW5Qi7bnew1PO1+balsoAvsxwEKLCo6
N40OOft/C3XIMLJ/79Ift3m3KaS+o3UZgkm1q3JtFtzrQYNm6ELnC0j+PpnOMVYSNF9nqHqRZeZn
Lfa/S0v6Q11Vdzryfhvpk8Ocpe0amMgEkJXrSF8Gb1AujSVfsHJcQArTzrJ89wSLoD77JaVgfWYz
wLbOvBefKw8wD5YiybCzZIS0fXQ36yqA1XNnYXdSxfdmSQrgii/O1X/HsWM1u7DsU10fYED77RWZ
rPnOfMh0TFhklFJuca97ynVmvHD4o/6iRZax6cvC3eDX1d/bttXfo3Y53Jux+ctxrfwgXebSfx1c
wtJyW9pacI28TexZ4BzUsfwiV9B8/lvJJJ/S38bO5mRzu4bSvWKdwop+2UOtJ6VEIMTAsji30AvJ
G/+gTRoYkEJtSL8a7townmQh2Rfmmg1w8iJbBp+bUlp+r7grUwtM/hePelutAzSHIbsMo3c9pY6P
xpb0Xk+bWNe3qlejaHyLoszYnFl6TgejN4r1DYbe5Xq/y7FVWBsZIIfbgJ5jrhSW1aUNu5deg28n
ZcWhdaDZTHBW1VC/Sqfd+rXK8O6USLv2SzFQCom/+6WrrUcUXksgbbdSbc+614GqgxtY5t/f+qee
agpQnXF765MQHY0awD3K11u/55IgwrlE43e14GPRmdeRTcuTr7aHT3JWu+Ol1BzzbM6KsfXTcUal
NH01ySL+XEIXsM+H0MFPrDMQzfdQNMhey8KwJTQAWb3jl1H2rxjuxZVW3AnWTBBp8Gn2o1PZl//u
MhWWCII8k35L9a5Rt67fE28gtaVLJs4pdiph3ZfbaQSOupqUsTqOqnp/s0ABaDxeREFM+rzEro6d
NXE3Uye+zpJTOVRVVB9Hf7ivF02xW3+CPcYZHuBGqfVUXflFH97P7Lo2rVF2HzvdZcRVzPAQ9enP
azRCO4uL8iLM5bfwuYnwgBDdh1GKoKhMWA6tl37RWAYfbv2xn/W7cskKjF1QXOa2BN2kFOupIb2+
kT4viRfTT6AK68aqIlQBCLx2ZjUvnFUxIWqqMinQ8zTZy7gchgCkO8Qb9NTh5V5uA++zzco75IMP
9SZYJ1GQXMg3J5eyD0cqv7/bsYvJGASJYtV6ZXKRgdEKYSjIad/li5wWDK3rxHoJmvIkbzf68itC
uuDop3CCrpd05VRplr/zvz4W3Yc6K+pTTyH6PKlzdu6mMDtLU86kjyUKelB/i8E7g/y50YJ75gLR
aBAnp7cr6K7mIu9u5hS7bATL50E7q33T3RcpHMchS5N/GuClbuNHP63cs9HwUcsn6iTNkURuvrf1
Qv8UOelPibBz/1zqWfIFKXKUaFgDSc5jXPSqkMXBp4s9tf7fTXVpgsJ4H/UM9z3YsOv+iFKozm84
cvV4q4E6P7mIYe3LvByA56VU2SIj+KYOzsWySElHrbK20Rv70SbaiH94Xn6qMCzfTl3q3elTBVDg
er3GqMt1rwJUddNlNxWjoStSu9LHhqpCx2HZaY5LjFLRvuryLoFNDUpA+nKJkTmkj7BKv4qtWpQn
16nXhMqGmqS+AhGo7PRl9xP5/4e081puW8na9hWhCjmcMpMiKSo6nKC8vW3knHH134OGbGg021Pz
/3OCQnevblAUSaDXekPB3mg6G9A/3EZuYL8FasiNHmR1+M5D/luIiJOzSr0EbQIM0Gj1legTh5Dd
alK36Z1oBaMK/bSKzW1dQ6vrwVSdmyDgeSOrj9jBYOryu0tEiEGMSRLK4o8Jzzy7xDH0zdiTZ1jr
DcqfutI/5BPrpq+ayTABTCXU8a/Qj9R1YHnFrajx0uxkhA/cpsK2JAistRcH9hdSqIjsee4P0Hob
LxrO6SiVOHVDTPWzsr80bYGCoWCxhmh1BXlaTV+6X30iUBykTn0VcxfG6zx3XiZBCGVaWR5zPm2w
y9YChyEQG11UvOE/RR87Bound/hzoDkWSMfSFGfy+6h3yI4lDO27ZR1xjSBCJjXo1HHriKJZD57/
yI7FZLfBH9zI/joiCXgnWsvfAcp2PMFp/h7o50BVs9eqaIObnlafktDOPkXky48egJkNCNvsk1n1
EkjcFIL01GyMKlyp7Euuomn5Fx6OQsprlrRCkxUpPCMw9kKrSRkMLCNK85HfcOnezZOforuFzbjr
f0chS/QuSunCd1FmTRY4cJzhMzfAC5jkt7Uazfsp9J/mtdRe3uWai1lRoSXPGcasGz3xw33tFAkK
ZK5/CpLMBlDOaNsU1oODCaMY9Kau2K5fbYscTl78qIFZ7LMo7fYNTPDnSh+9VTsplw+9j+ZMqHyG
rJ5vx7Hwz5niBUDGat4osx++QVuYQ5EKQDE0SvWHodWBgTaVy4Pa9DBmh228Kqa6F2xNwNQ+4rlD
jE+rnaIUnP300FnEWbV9yCLf3/ad83Y2/j5bRpczJIq6hx5U+/a/iMsGUBDchvduoufqJ7sP11SF
BrCMYL9lJCDWIXpGX1oleZxx8k6xH62+/Zl21ddSwoxN9V0bXIVn33L03vHNhkaKNUCAbiHrZJJc
rPRksumtMedYlS0w3vvGfJqLzC07ZENvalRDo+rcOE31grzQjid7jDs7vdm3eqnubOBxXybQUl04
3nOANvXFLF2KXVO/HI/c1YeiAE6bdUcN25SHcUjPalYYr5odyGcU2SeBYY28+5B1B3RNQQdPTWw+
Yb1ImbYXwUPRUaU1cWwRo17eP6at39zEoK7uGv7xr1WbYVdl+8/ISstnvR3sjCeB9ti3Fjei1JHP
pqaPDSVy0L5jWUpFvckgLw1/e1Ffbj1ZPmRlqu5qDTZf7GCpBQFMWQWRlTybitE/FmmyEoNCGgca
zDfDI8MquhQH3GE5euzAdW/X5lXxOWHrZpft8BUcLo8SrmrckRup7qt+YLtlu95Og2iynQk4fUyS
mWTq06IlIug5udFScv+tL0JibJcihHh6LxgiAo026dZRG2vY5xgg5aaDmOfGLs8wFFYNdunYmG6y
rjKeNVOR7jojzjGlMIzntKzGG3KBB9GSArown86CZnwSPXISPss4gQIaZ0hVEEuxTD87ibWUlnRk
iW/gTjTFlWo/gO6ElR0VxTA15e1AuXgxaYrw9EzYcIGdy5J43EF3K8/AqGyE0yZ1ILxzp3rxNN7b
JSrhU6cICiU4Mjt5aotOtQnfYuY5S2QamyR6xmiPt150F7dqW1Px5nT0+DwCClSOapuHB11KaYoR
cXBSQ3cOiq5aB5nivF804x0cDwzGxSmUZJh9SouPdpiUx4/D7yLn0y6wJG6Pw7Ca226njXdoNQzS
Wpy6BfYXmHgdU+O37aXWpZm/yeISsFuloqg3lbyosub+bKQp2uIwR4rTsoW4pldjuBJEG9GH5qld
7ZAu+EWI8GBxzxi0RgrHgz1EXwVS7INwiFrJgxicsWXL6O+BBX62DPqJPRziMP06W0mKhUWcI6mY
uiQ1nwPUrMAH8dgvN+h/kj+Toq1dxXx3quai9Yp+L9eecQ9TLSX5lF/nCNWKvB2W78N6CbGVQr9f
lkLtYA3MYmOMCVv6Xg1OOjmGlTNI7bPVWfEtzMajGBRdTZ9tbcesHopwbJ8dz0QmxoFYJQaHLum3
GfoFu6aXu2urQjzTzUk+zIn8rSh145+aXYG+kkyYzoz47PUBtJ+116fWvXBZaR1gMV0+OAiFoQ8m
7Fc8J0dnUXXUwxwiBlZO0nSnNxuIwfKVY4uZsVAdCyMS6pkX2WvR1Myo34SZV86jchvfXLNTHrJA
Uh/0fOLeWL/0nV0fkYdJilFvfWSOJn1n0WzHesCID2JoB9kfnW2koP10K6Sg59AB+gtA/OGz7SPV
qSmGSy6SsA8rTmF4IA2fF2HpXEEESAtNvm+orCedVFx0QzOesPWKIFlTPRI0i7ZBGBOVmHnQm9gU
pt295k1eXkSAiAcDCIB2omUgYaBfnbG7IMlsPIkuZSBx4ij+qspY2p9wFny3hxtUQh1NPVR03AmJ
IQ66rFjHJgp+LF3iDL2jTaU37kW0xBo5V1ob1sS+mFYTA7jvWUejkv4WXSLs93RtIDE/XxhR5EzJ
yxnGjPCTiX4hnFABSJ5xyAuaWc6j4jyon94hkxeAczRBnRG0QUHfLZP9PHfBOkcJBdicDwYQKbK+
UXoOlFG5y3IHRZJ4Sgsrzl00dYlx4QXqZCM4eNFmULaLnVH+xS1DuZuLZa5dPn9oNhok0nm06NLn
RrOiY9xr6kPVwMLJJzC8qC3mBZ+uygr+pVnC2xGlRhEsRkWpsZyCxVzUCN1HWcECGXAbAAsKaqg2
BMHXKYUC8yLUL3LVK8NmMOuUp2OvYAfPiITY/bCa5ySVu0YFVxFpl3lOwpPV2k9KRICPeZA9iQxS
1DYQdOIo3M286qUtclEiRpyl5lCu2XUFb4GiLSaK4SVzBY0awJtIHZkx2dncphg0yw8JOSJXNuyz
q9jpCbGoXSQEizpHfpwovQdNyBLpBu5q8zy02I4A904itSOSOXFVa/Aj8+awpHuKsH/r842Qbadi
Tp+uxm8Okj61q9/jjWLSXtb42J55jgkiYqbvaLvc4AEpr+1Xt8FnVhx8suFXSbKt66D695WulCes
6dBBTYC/XQeMVra2Qn5aBIs+cVZlJFeDfr9MF2fzuhXiLWwVy11UkFQEscLFxKVRJ3ttneY+6WS9
8zdVnmsY1RleTsIvzu74b2V34mw5FK7jvw1/iCnNkhGvVaJTO4ksTissIVqASZpaxWdxb1puUE1t
Pcmylx3fOSOL0WlAI4lzfANZT8Dt3wM4w/2asSwlAYoQM8R9Ed2B7FCqAAe7THFxJY8CfJeb+GUs
0Igij3a1GrT4x1hWH7GiWyutr2AMlx6nDO2ziCwq8oPRmDyIFkicT0mfl/M8DEXQCUdG5k4MYgDV
oayDZqNYtTF8a2O3iAqIUalAwN6ZcFGiqeqoQ0c6iruZeEFBgeCVWrI7nJri5ZYjqsu+PaL5FKRn
+E4gjZBjC+8aV4NqkLjjrw676v9yoRXu3gUprhzeze050nG5466xQgvJccnF2lJT/VzUvX7WY4z5
Aoo42dRSJIU/C/z0r1MRo4K/Rze6DraiuUweqjxoV0unExZrwAbeneiaR5doSQbqJzkKH/+9NZCk
dLBfO/uW3CIe57bz2dKnVyV8JivGKDpM8Xr7Y6CYrLd3FPhwMJpW6hAaOQ5SNaDW3yAsZRhHnyT/
gCxEhC+DYXbz4feoq3Abo0bFQCgCQYLewUg/8wOhVTvEQitYLZn/ZJt/qVmoPAh4bq406U6GubkR
Y+Lg5N/lKUA00IZ9CxDxntK+mD7Z3nozccRXy19d48Wy0ZsEX7jp7QBli+jx8laIQHv6y8TZqNor
FX2D09I/z1jaSudtSi+JHjvTVoaDM7TFsU7Hh1aauG9adY2HMvkcJzgDBornnC3Lq892nZXbbMTL
MkeIrEUbZ63hO37JbcN4bAfzCQFn6wulVg9MzGgfO/j+nzCoWlXjaH1JsqbfJ1RKwB0QZoKrc1LM
bppEUU5wpDGpn8KCTPmaGahPondLIlNF6UjEQ+UMUVqMugv2OZvBAAPeusHdTK15d9r0jr/OJcRy
ROcMrQPfHL4PnXt5AOq3USdLB03HSLCDh7DTpqK5JNc/bVl17xW/tB7JEV1spykfKgu104tnBy5M
msQ8jwnoBuBeMOSHPnyqgtReaY6cbTFGHNOTjLfwbkYntO5A9avXPsnqaoBY+Sm0ohClItxsSbhq
n7S6sHcNSFVS1zS9TutWpoI7UBcalNS4uW+HUJt496R0/cbGeipECAx7ORsjd28V5bxfg0N6AUGv
VVWUJZfTvW3baOG9Y8XeIaR0c1J827gDvxftXbDiE8uk3CC+ab0g0FGjuGxKcMNSYwMx2uBZpCV7
Wihkv5BwwRFMnIpDWKkFeyQ32Cx9Yk5gOdqqKOxm7WIUfesiRb22/BItaFlx1smuv+nwkGRv/wtG
2yqFeu0QqRZdC2RWGsLgXSzawPqxAH9wEPpzXoZjsuMP50WwbggmZTu9wWVnQGoe1/rWlDdiPChc
IJG+9fODxp1oxmOYbJOhxIF1gYMI8IeDot4ajHezFU1xmGOGxs8maOC32qz0lkQOYBLfVNfuBN+I
C8DSIXtoIVAqDumnOHXl29JhAF0ZilYio4EcqlA8ReBhXPuuPMzz9EkTFaCjuVP9toFTQ1P0JXpc
3EWW9CS6xFT4hl8TPUSWKPFAjfu29NohQ78bh6baiWajgrMuWhQYRNOulBctcYObaDmPCC7rr5Fb
NLdEaZ5Ko5Few6p3TmI9xFJQK/MR1Y+6h7Fq5e/TSZZ580n/bz3/IcbrqvpzQA5ttD00+MPi1QQA
uNWgy59jo0vPdhSADwOM9VLZ/vfOQcZfg7uMEnjxV5NSFh8118PWqIVO6I3qwa0aFIAzqVrraDN/
y/lk+0XU/AhK92tpp81Va0BdDzab8NBWk28ujG/MnTTjXjLZRcmBBWgEI8Bvsme+uODnUbhq0aOw
J/OdMk6/DYG+6YGSfTKpLh4MMLL7ArWHL7pxEwuWkmxt9THtjqh19y+hD7ltulAuax7qJ2WDB2LR
P5gOkGwHiajnyOuPtamZB983q9UQ92xlqwa0TyPpW/HvFJ8J8d9l071Lw0a/zP/r6bNiBF2DUF6v
Hpa+0o+8rT5QhZfFcuXv5Y1xpNDjBsfZf2ipNYYdLC97VPaicrj0z2XGabQbSLSKUa/R74FdZZvK
k/PLEPv9Nowz/dnKsPOT1dD7OyHDyA+S/nOs4puXO80XTdXldcrD0wO1CpDPfEVOjalH60hT1Hvd
cJOV3+r2swe6Zxs6Y3JOiiQ4I3YjbW3ZUp8zu6AKXBTWD2+DjFHygtrJ1ZmShu6UTRxrdKsCkotb
u47JIbp2oswjKKrTtkRkM4mhTEHLRPJELVzKQt9Psj5LaW5wzOhY9zKsJcpuS60tH3NKWUucGFli
RBMD2F/FvKXCJ0ZSCnIrAA9fur721gJ8IWAYCV+hzWCnPt9RA3ZdmuX4haM8dxIxAs1RRDIYTTO6
ia4+qKrLQFIOxzwLMxXuNwduPx5+EHm0l3SluKaZnLZ/S6GkftUStd1iqejDxhq0mzjk8DYvapLu
SyTk5i7RH1vDqeAJ7xxMatqiy9QxUsZ7AumyaboYKJyo3osl+SnDPAQemte7lr3K7W5LRry+IHCV
3IZJ178b3GrXkmtdN0Gf3JaBf40Vg7IGONDFnGUtwpQ2ha4oReMZkcWJM2L+nU3qOZ2k54jKSe0+
9dv2qFV9cYtsku4xyoOPsqU8tV3pnEqnUtOVVTiQGqrecrdyLf86FQFzrwiYY2uSoRRIw3YjOkVQ
4bqlscYKPDvGyL7UfgR8TykM95zbT/CqnAvuaM6l9/DK3WiTuOqgcNNPrRy3iLIvusOoFZ9FoENx
GgjGtEBf2ndeWQcY701x8dAFW0PjTRIxI0RK7l9pf5KMVN6VUFqnh5TuS9oGaIOGyfceOSw0wdPk
ZqEHgR+pJx5j5ggBnjMt5X1EDiZ4pQGD9602+BxYejMpajsXrHu7V9tBk4FubvRohyvo29m1E3x2
W2PYFE7fHMWooWpHPlvFUxM38q3Rw89ZFgSfcelS9rllQ902MGJ8E2RUgrvOqrz7slCjs1329kZn
J/ytBWsnBJkkqG7sin14nvx+bIU3XtkEwHVD68ofja9S6H1qOrCwysRAlo3ow1gt1db1P83Dm6Pb
KTyL4wBoZVdf9+5rL7DJ3/XZ1VST7Cr6xdm/DnqJ4wMLmkKmAWRz7GM9zVqmdlWiHPo+/mKlKNF0
So6cO+gIZ8JE+FqIrdV0hmgqzLzKdzYfBkRw0GXNHiukaLXMWFaZ/r5zlPxYevhAtApJ5vhxLOv8
iIJatslLNzvi3IhIZhSN936VqvuxysO7fGjru0jOm32PLziah4jgyvwlL3KIxbY9tN23PEwv2JBM
crKvBeYa3qo0ovs8lb1vGNOpKxME/HOrw28Bm8yeuFy1qqvcz4dKVu/xlRs2ktromw8DEQhwKBXk
UwLJ0UzIZVO0HW61Dvze3Oe1rna2UWFF4VS9t+QRm4JIKoODuJLoHLTkO3icfA14GgiaFETN1eV1
1al+nbti10aQo4rzTRh4I3YsNBGEHxCLRgeOx+N4AB42gWkU1f0OFFzlt35qdRm7ueWGh5XEdy0C
yyS6xITlRhjq8Sfbi4q9SNv7mvozUDAbFi0SgDwXi9Pl8FFcK0yrt8qdVT+WkwyQgfVkFgfmt8SU
yXpIRveg27axH1BXPZpjY10BwFbsAe3yc1dLD7hDuVhlu/rRAwyVVl37XUI7e9oAFc+qgwFiiwnV
WXZa9YS9FAyT2K0fSLKjxoBo4hcvSZEF1LWfIS4AiG8/xmWvXjphP9EGyupDsyr8dO/IakJGAUH1
kPT8oZ5+0sXvcjiZUlaK/iJ+4Jef9SVWDCyxqD29iNbSL2KjAB9JO8B76aK4yCehDoAvTeKPa6uA
RiWaljIG58ryfojWAAvsCfb6Yx3Kw6V10/ZJM5Jwb0EPR1mewdZM+8fQm8dsuFDrEcjnXoo18x5j
sM2ij+tWBozJwXTW1PjlGF7I5OhXRvKp6Mv6cWxfB8Ovr9HoITasu8GBtC0+xb4KaG7qWwZMHnhW
ZVG+9dXTWZFqwcHH8Xu1BHOzsN2oPwvoUpMZJi4+3tcZ8fQBziSATdXo8Z/z3Rn/NAj8FAmILc+T
6UpU3SUzkmBjjtFqyFILJd7nHGDCk0Fd79nrsDF1xlC+E6G9HjmQFSRlovuoW6xija34p5hy+2qZ
Y3sSLXEAAKMcXJO/avkXD9LOqQYPBQGDu8fxHSARHCosWgUw14xa9COUs1baBFMUWEbF6q3wSIbS
woijG0+FnshrGzHIPboQeAdZKAonStnfYHTXj3KuB6fa8vhWRTJNZ9Dvcxc1jKAGcLUA48Q3dRTf
Y6Ouih3VjQ77kt/f6/nxVQyJmYaCZHVkQBWcisby2Pzsjbo7iwoxsrXlNrT1bC4wl1EW3UGvhZQ1
1ZvLDPErxb3LYjN6oAS0aXBDAxVkxe4mSX0gS7+xsQtKNh4e+0w1LgIyS2LJ37dCZ4xHWU2BzBVP
liSC7JucVbcen0SHFMvRurErZG6ncTcIeL6ZwlXUnaC8T4Xo6bZkTYeitlM0Lrdx1BsXfci4Z4ku
cYjxcJ76RcPDx3mGDpQO36bcG+6Ww9jmEMdCrb/LyiYroA7SNrsS0e48O4k40bXMEGdOL1NJyq9d
pQV3jeUX4EARH29ATGEJk/qf/TT5Cjis431+o0/pVvnY60n3xbcnBp7rRY99OQy7VvERl6+b4K52
2kNd6PoKk3PEhqZDDGnmKrWWuyuDXJkHRJ8YzQx7uDY4DwV4Mm9EV+0YZMaoxO8z3UkPUIOw2DKq
8iFzdZyOO+rWc+lEtKMy/9UOyy49ibZVgKBaJ1O8aFcTS6nQW5xGKq/YDTIlFN1o3S+VnSPmiR5j
GLcnhwrC176adEmQy7712ajgY4ehsqSPwe1fJ/WT8uM0KSGn93WcJjn/MKlHnRurhLBGmZQMeKlK
6pVM3brI8T+R1ZS0fcgmEhEG7wJxiT3hdGicGMC26UWHpc8DnohgUdltRJ9YwICidWwNWN3FtJ8U
fUo6WYxaFBEqLBQg0nIQZ+LgJRqWjWbBHUOR3waU3pOBM/xqklOclIe7yemFuWJAhCyr5EYSr2od
YOfS92GVvOoQFslreP6/Fl4WsbzOhkZ7XnrEOstrLUopOgbaePvQH3Vs/sc8DI/F9B/VzQmUAtdl
/n/bbv++qbGZ6bqyuYrYRv0xaF38ACixPeUQYFezX6ZrolkX6K0FdxK/TVPty5sm9evZ/7KDU7jr
9MraLAaaULlOCCXmVzbT8iN7maOWxcZxhkgI8MSMwCg2GVJEM7Ki7EpSBY5yGJUAjanEUVahUqtY
ydbDdTmMnTZcM2tbOFlwFaFiTHSPYIX2YQFZZIkPsD5UAZyzXOAk4GOm+cuwWKH3d2K5pVucZUr5
frkPF1uWBJV/4zsRnubKUmg71lEKtMcP1SlRiwIM+hiLgKm6tZSnmkiXtp7vJOulnLWMztWqpS1K
Y8EUrTWutBUXEqNWuUb0271JpvuXGXfKaa61TfKjlMC/iy5R0hOHqauuMGCaK3QIaMzNBdANbViy
lFvipd79KFn+i96xO6XSb90FSha8RCXGzhoMmaMYtcKx2Hphqe9EE2d2aj+9YmxEsDJSyJasMluL
0Q4CGRAsPq7etFRbdhK4C4NyMq3Cj5Wn3PgqhubFcFRxRu45olXo1aN4VbECmp0E5aeeTxcknsL/
W9c6GbTG1MTDNjjPp9gzcYpy4VmcoUUZnBEDqcljA5jMjL8UXzNP0InfDtrUNMamSAHg0ik7konU
q52/tbvSK//9VITOs8QC/9heriRiFKApa2SfW5IQv16CJS4s2pY1yFhBlqtacr1zVFGzdvTePy/N
YOrLxyGCDKj2t1bp7P2HEIqOcbWaY8QSYo7VayFuLFiDTEuLKWLww9KibxkQcWSK/oo0W9st/TnJ
2mp+lXnSjjtbSdAQBUlzCjFCPImzf2r+L30fVv7PS/l/ehlx5bvRanmB/3mZKOm4n/xTzB9fjaPm
sE6H4SZmzZebl4EG8C+Xfj/2T8t9fKnv49+NianzFd71iqvPV8RFDGav6Pi31/TfX/f91cUyYmoV
NfgZLGsvI0vfx1f1fqX/4fpJDOjh4z/oXfvdZd+dipf1z+1SHfm9styCLWmQnvLpIM46w0g+Nv8p
RMRNeLKTOPvj3CVkiftwtT8u9V/M/bDU8kqXq/1x+Q9z/4ur/b8v9cf3pZGkBwS6ET2f3vo/vtpl
4H9+tRJuKhFMhX/5T/8Xf/Qf31Pc/ciA/bfvybLM8p7809z/z/fjj0v98Wr/+H4sr3J55/+49B9D
loEPb/eylIkmWRB5iLo02N7Zq4EHiOvA7nltdBXeo+DKFWCHdPoTOqZtoNtHWeJsRaDoW0a7NoTr
MI0uA/MKIFkZ0QwQt9MyiDW/LSiaHko9a6T2cJMYcxwrqnJTaL18kby0P0eZJyE/YQ1fbArcdRqo
Lw4Gw8DnZO2+nQ5OYNrnMLZQvqclDgE0djb9ybBPvXBSVaokc57hDYDZIr1R5mgRKKaQg6AqmeWn
ZQFT6rx7pJw/rOtoIwpqMT6gbu94r1WlmKu0G5u7otP8V0rABfXk1DyHfeG/mvbwHbVmPIWmVhoi
5gDt8F60wMGjHAihSLRybSQDhWaQWNWLn+TOCVYZ+gS7vCwmoynEsE7vTnXXK9V1D3zorbddTkUs
6Y8KMbkQwZgAXCHgcAOdZlQmNrbpSnv3s2c32muCmTN1ofyplSPvU1/b9sn3Q3zgSw0hI5fttdYn
9U6MVnnfroNIUk5iVO2Dl56C2s10TfAXFDWVqRyaIfG6SkC3f4PY9h3xJeXRl0NU1P1g8kJIu29W
2q8pTQT7pMQDy9X67t5CwfYeE4ZT0Kb6nSPnarDVJKQFkJq5LhE5wjDXSvkmekwCTOScW+eurjFE
ndbJ20lHmFT3AUsP50Ji8tUFBoGrlNw9uwgDSVnwbJF5wOTuTLLB2umYnt+bjg52r0ZHbyQhY/mZ
+YLRmYpYY5dgEEjTNElHIxMFqGhqFr7t7oGdqxuk5Y0X08AmE4MW920UXcn96EUppCCCtR4d3QQU
7lYEpwNcGSSUjLfRYSx2YdsHOxGcjtAHFBRadiJY13Vti4qBOo8CQ222itN6SMLKrCwr8TZGAmQv
grOscDb6ICt78SdoJLXwU5K8g1g5Vp1qw7a5Ooi5ugY2O2sN7WBKuHYZhU/Gn5eLb1ObnnPyCZ8c
E9cWm23mmEbSkyMZWCRO3b6eX0K9p2Y7juEnrauCgxEV8VaM+jJW8xLq80cxioTe37Bt3Kue5d3F
qd2r3PbhxrIVFwNwqXxuIGsebK1DeGdqZlqtXNPEvkn9UD5rTVk9t0Oy9sIsegxL6VUHanYHTW3c
61mUrdta73Gi67Alb9PuFDlmiuVY8h0twOixBia+TybwfKzmsPaCoQt3YPzRWXEM5VMboY00qkl5
Fs1G07Ft4JaoTx467pA9Z3BJcwuAd15J2bMhRyiGIoJwiiOYWXxf3F2R9SbQP+06xKWOFpGqP2hg
fI+tibiS6POhGD9YstfuCg+NbtEnDlmCHlUdOSSEprkiTi3IylMcjxGyZSkxoJbOfdW28jlwQn9y
OHsctQ5pCwXWRWSd1Cbg4+yaPcllJ+NoofZ/Jw5iKOCrOzdrOfk2VNiS+QCTghHzRCMs/Ccg2uz+
rKp5jfuM0geml1+zJvuCzBJCPYOBA0+V1dva04cdlYUC1sxpOahRVeFfPXXWbvU24pKnXkUN+nG9
lpVXr/278dvogqv7l750kr1Zopw2Bq4OAlTd+MjwKLZ6xvBxvIVGvwkaMz7EQ1Xuraz2Htj6G2tV
yvVbFsvXFN7pxgeXvW9j81TqFTRbcBJrLarGQ2Nnp1ivrQezNKwHKQLOrI7kfUWfkulIYfKTs6r8
IXxQFGsfojN4SXiD+y52j2hISsjhcSh1r9hLlpesUFGQLpZhtrs+bKoVqKu6Rm8bjsp8mmVUmfO2
jbY1yiDnZmK7iDMRY5Mj3tZyGq1bn3ySAugh7fT7JA3km+ghxTAZmvgWaDgCxEDpyD0ihKhLiz7d
UiLKcynmFVNFvNe/p9hCXhfbe7PGVywA87IRfeKQpk5606wXfNWje5sy1i3V1ikm4c92pD+HyCFc
i7guX7oJBmpASLtIlVe+oKUH0xsOEJJBbM7dzMseHKXMHth27IdQMi82kgZgAZBT5Ev3OAlAPubW
qG6sXJY2/lQNHPM+PUYeGAzdD5pJ7ncFlLDcuqVtrm3P6+7sOjzFRW8/NLbTw5bw1a1bBfGXVoo+
14XUPfhDyVuJcClV0DJZKZJExSjVBhQph2965zZ7A7DMIzVgX5c3rTeaP2zJvGHfg/xGMlUMSw0Z
e1Xvj7FNCkKvw/RJ9IHturRqgRpizj0wjrL0oAXFeJYHSd9TFgkdHyxHYmi3psyyDdqIwatVddUK
p7oK5E51aa1OW5W22lEIGayzOMgVHoFLU5zpmZUcyEo/pUWDDLroa42p8Gdq/SbWDGs34Eq2hlA9
nAcbr2/PUXGEtJT4M55MayeS0jWCttYhKkzlBe+xcNNpCGp4umQ8uLG0xiRqPLXm9A6VuMFtCylO
VlITvgz+lKWmvKuWff/TGOpvmtmonzLPAW9Xx8EB2ZZ0ZwIYNvt7rFD7e5/nr6Ne1z2G6r6yyfJI
W5uo11+0pHRPQ4Vg/aieEfJFDMXOnwJZ37ZSBW5hML/qrRafjZFMpethO2RleXrpISluu7YbP0k1
dg7KnjuJKq3SVHNu1iYyevMmzmHFOrfCUG6Z1JvgaGl5bklMqDsrEMX6fukbSivfekqlbMQsMaCE
o3zoFdQtlz4U8vINtMcvucxOOQeY9eLG8Y84aJQfhlOuxqypKH92zgoqSvrYBIic9o6M17tKJi5r
JSh8kYOTapp+STHvzJ1Qv7VUQ252bP0YbCX9UjeKt1X1tjvqZUv1IK/5OXMzCL1t+lhbhv5cNjbY
KtBvVmvX15rHCkS3QdMZXQDfPKqzjRhNXdzM/bFQ91JXxxe16I1VC3Sz0pHYNNuTotTVLUZA6HnM
YG2agdGDTbLsg98V3tYGEbLp5dq879GR3MtjmOFS7Ji4tEEyqvvqoHRVtreKLHnwoRYi5pZ63xPP
PBVp23yK4pJcXqJ3RzlNhke74+dRRMjB8GB4nfMi+zWmL5CKDoGSe89IA/8VO8jqWUk7XLGcD7dx
1YR3ilGZD7Vt8bSJiN1fSdX9cPTOemzxhOFpEhHyUjaLb2m+s3BIWyk4GT5r3XDxnE75rBipshlG
zbjwqc/ukE5Kd3YaAJz3kczzMqyu8qxfJ5UV/ZVC6ZmUFaqbHaLGYfXlXR7XGcn8sNnlrVI9mr6W
IzZVW18G37yNlQ9RIDEvipmEP0ej+gvml/pptGxv01H6uYUq/vNWJcl7FNsQ0AjQafQpvkhNBJld
U4CfaeUV1fL8Z6tN8vQyEmqDgUpVnjwpcmn+MCJja1ma8i1zumKNY1TyIJtheJANqzjmmRpvm7yJ
1rXLB1VtDP0wMZBuQdlo61pJK6ykesARgNN45EOhNi6/8L8MNoHn1Hhgl+WxaVkNrCEkgdIo+NI/
REiMPcN+tJA/CBCEK+psq6AFca9mg4uaf2afvRSeY8J/7pRCjOcHtwBl2nk3tKuBqyvslkLcre+L
yBh2ToB8vOea5b5wS+9iqXlywODduXOyKDyavm+fijz4aZrIxsi9dJ6wrqgpqAi/58VRtES/OHRT
xBL2f4yd13Kkyra1n4gIvLmF8nIltczqviHarMZ7z9Ofj6S30Nbp88d/Q2QmCUVB2jnnGKMLze9J
ovXHrWirFgZ9t3eSkUm2sYznTM29as6Gp3zJoT35XQvV6W4wOoSsQrX2NMLAziJrT/IN7rwfs6pn
92i7lVc0UAKvK5rsKLKp1JXXVCW+1dQxsS81RJE4iUefmEGp8wlKSCtijCEkyqOg31XT0LpJo9m3
Q9QPL73+Zezi5jcAPI8JiWCS6KtS2IKFC/oIPHjXOW5/5INCbJSj/epgz7ayFq7r2HjImulaDKFz
CYZ7A2C+J8fmU2EHiAviF7S9HnH5JeyNeOVsKV2TTBWTlwVzeUDrtDsbGuEFxWhXr6rlwHuhEZkr
ss6Y9/uxYc8cqtboWqwqHlVAFo82wDq3V4zpvJUVc/KjGy3rMk/+8CjKEz18NMy6AJ3BJO0No3VK
YRi8EyfR3v0FXW9GaG0O8fzQ9K8pxCCXEaZDD4Xjhh18/DL0KSrt/vTiW0W+s8PmmwiNhOFMgaxJ
QkZC5MWBADUKyzA4lqGGKD1VRLmItUS20T4rTndXyV14o0lEa0s+Yy+rmtE11H64t8pcevIn84E+
nX0tOph/kbsh3GXJOp2z91mVFvqtZGYRq6l4nM5zFDwhZZHfhs6/RRbHN32s57ejUV+VuGzu8kCx
0DhVwKor8otcO+lDV9TPpQllyGCX13ko/+mtSbkrjEK5A/xq7GNJqr0uCONHP9GeykpWboYlJw7x
lPL/7P4iwq1s5MyQ4l7iuMq0uxiKiiCtUYBbSC2+J5LElkGPb5PhWiNb/0Mp7cgNEP54yP3uny7S
zMOUdyNtINXfprRBT3FybnwjyvdV5V90PRlPCTuHm8IwrGPTIiA3JtgCLPxHZWZbu6DPTk7rPMZF
4fwmxKeXDSCHwQDmAnDlz9HW2FkTBvRmggT0enxMR5PfITIETlzF17sfem6+STUUXVDtu3lZQJUb
oBeiKt383fLlh4YB8sl2fKilDGZYF3ZfQjynKvD6Yga7W2BUXJgm9pJtNoRoTCjRaXJ9ExQ+btGo
cv6ZNRRx1UNeRP1vqR/2OfvPwJWK73r6AE7buBGHYYzMG3SqGYji6nEcoDCf2yH0VNAlP5NM2yX+
pH4NzPLOhGeevRdE92D+/eOc2uYbYTAAsPv6u1la7NQVJHOrbtKepqr+AXDUP7GWU05h0bip30e/
ULgY3D4qg0OkRrzPruq/jGP9LY1qgkiJtPziz6oE/xTSv4w1ZzAx/gmtqeIeIdZyT1wMFGJNfNXk
Cn4ANZzetIwQRUdrnK9dVf9qifv5kcX9YzRb4JiqTL2XI+RrnCqS7nuzzaBiS38VSWt81aKoZrPt
O5cEHYGrFYbPNpzEKPQpr3VoKg+E972KXDVUDYuPtHVLtVg8ivXDFksUyZChRk0eH6aMVbM8oU6V
hfJzqY+2K0dOe9Mh3rFrc99ApabwD3kDhKNAyG4H49d4WNy052JxcTq/RqSTH2G99A3Nui8C03ET
bFkHJ7dYtDBUNw9bobFk/bAzd7hFS9eE0g/5MVj0AE6hPt1B3dsTviZXwzciR83vxFysiaXk/VRh
zcZ/15GT0fxuURk+mtFDsyG/H9UxdOlvBbEjpnXNKv3n0PnVV1mOw32gNuNZSFkB0jdrmMxcvQ/1
HX8BC49GdBRC171/DpEmeKhHAEKQ94U/QnaFxVQ5L6ZjVsDe9exYRbbzljkg7ps6+oEBTffQ1erv
apAbdb0TjMOChlikBAuxpA3mbV68fireqrJ48uBIg+K+j1wnXPQ81AATTT81+3ERLbczK6Jppul5
SuTsqmZVfk0iA7XdpPouarDDXaDvoU20IvDE/BBoAfgMhIOufqUqGC/n6hjmzvTFr2qk6xfashFV
QTWbih8sNAGJYj0f5uJtcjBwOVaE3c0KyrdEzeKdH5T6WZzV5e5Valq2n1Eav6bDoyj11aq6T2w4
hv2uIO4Dyo327LRErYGizXd9pgFOWTg0gWHoP4nqZCHIJ50kJi7Jl9IjD1o8iUOt6cepj5V7kcvV
qDkgIX1KQ+TAHMOkKSK+900NTpIUtt9nQyX8TFOUsxH6znOZ9A+QnbffiV4bPcAtw509BdbtPGXR
LrDb5KtVBAcR2KwqYKwUAoVQ8dMsehf0tP9dYzZookNUGBfAhy+qFKk3YCe1XaE14Y9UegMQMHzT
9EjaA0A1z9A75vs66gy3Bj7JZi03vB4Z6y8FNIiPE7SwutQaXzqrZUmvNd+1wiAgUK2rfSblgJz5
l+6kAfQpU7lkLWDD1yVAvk3SHKomvCgwJNzPjtO8lmZ4Q0jK+MhWvX3N9Ic8yKsXCyPnF3oYoApK
TTXxH2Z/+lLmvIXATPudGowVovNyVrqtIhXH3q6MG7SZc/CfSECBRnkSB8WBqqKJoclibdgnng1U
cxdUY3owZ8QxRZ1qsIlrlOH5Wi4bJqW7LjcJe+Tb0bBEguEdj2XIBETOdhfwisBoiQNRdfHFT5yv
qyRHZz5IRVwARw555ZIRvUWJj1QGhK1voixX0bT+lBJn88L8WE8qwPkUdu6qk/RPJFQbtVq/kZwh
fiAc08B2mcT7ECTFQVtIC+YhDu+WukRoxF6pDsnBEGiPbc0iwCFWygIsanTbEyckWcVUwFJOGndE
5/VPImVh2V1Tznvqb2dhTL6zRBfpA5mlo+WacBP+ynKMdrKfmF/g7c6OU8kGrjR1FG9nSDGsOSp+
LHVBnOvsCxeFDgkIjNbpxJhrGhHXnTk/QD88MK7CajQY0Fjpy4n6v0+IK9RIfoj7+DW0WoKKolh7
ieAOO4psk6nqC/sd9VgVeNPBC+5m1KsvEjG0V6kNS68olfhX+q9RavpPA/QEavJsO9o5Ui8RkXkH
29LkVz+Zn6QAuibNH17ymeGiafUeXpeu2fuZ/RJVslWCkAyRNJdkLbnL8zi819KyeeDbdGepDr71
sk9OFC2HgK3CObKjb6IoC6vyFOqoC9Au6ZhB+RO5guguUSL9Rs2LDlvldTC78S4SUFsgaeMdmjfk
iR65QORrZnS2Y4hwFkRu2NJrELWe0rJBPDB4zJeJaMl+AYxEKiTQeulUXywl6o9qgEJQBnj/Gi9B
dfYEvGiQphzSAgZvYILqS6n21m7IdeUolNAmKIt3soUut9A6E2fHpbK8VK6Xyk1DiLyajNGDU/jN
tQnU02g1EJ0sjKfZ6KMFm6aPUQ2dKS120ayqrIs4SdQz4bgNngNxth2c/DI3JSxby6VOjxcHhlqv
8XvtJeul9NCmTYpiB18d4sXsMAd1uS+M1EUlk/HK6YwbsJYoZC5ZMYbJUnCAi3u4iqIs6JtdEto0
UmvhnimABslK3DzKvb5jslPvNya9pSgIUu2+tJzhmgSJJ5sgSzHV5M8ja7XHWEP6VkQda6n/KrW2
fKcvccc6DXBXNlp4FNnRjJKLuFQaYZ7LQde6IQgirMVzcitrOuzCWz7T2nlHPA70B8vp7USkZSWA
EWi0ZQutjiaOpxsDA9qLoTAIw4mM7ULLEEDF4VlaZfhrDn4rViH9mwIe1HIJibi2JSZWC+o7bYqC
m9QiEstowvJLViQ4SWcz+NUMv9umhPfuP9fo2Zzt0fSu7+S60M5R8tj7Tv3Itq700IVpjutIL/KK
Q0Rcu5x2dGtkWTKPO62Zsp2sm9FBRKCKA0476JUa+U+ZiC0V9Qairg7z8jlEPb9ga6lqjUEHw3fq
SRKxoLnfFs+BTvypSEXvqe2sNOCV0GMZ0ypYunbo7IfSKBxWT0H/I9UtjAmN+hq34KfmLipYQpv1
S1f7mNypMFoI6cERGDyOyVBgGUIXbzIijWnvICrovjrBDJdLF916nhZZbVDgODi0M1qG2ZoRxfgm
4pNW6DiZllpb1VbXbTeOyvQoTsCTj2pfii5mqVmIh0hPYr0qXjSf077RemCpy3sV5aIoaqyn9dWL
rEENcVJfJMEdv7VufFANiWbdirVQ5OjhxXcUxxNZ1WqKfQORwUksgrQRDWl9AgMqztrd70wPlBel
cubr1BlfslTqz7kTgfxOB1jHQBUUWNvRDPbfU1kr43iptRtRLg5bNZHN4gQCpCavvO0ElJDpUYvm
1BVEuEHn93c4ON1VEFWUCU5c5soI/zdUx6JsO2GHGNtMIua9rQyjrXwe4vh7Aa+n4rhyaz/oLdYV
EYouItRFwHoEUO+CXuS9KBInRblIDUAroO8BBvKB/vn9ClElU4tQc7fa1VJb3Evr80O9wNcE7+Lo
p9VFgy56o3QU5YnQ54J7jfhv0GzEfRIoi3H3F/wC83FEo/XY6cH4pnfzcTVLEnLuBVFi3OVdrd9b
WkdUe6mgY2QFtzNRZK9yOMcnZwYYqPfOgQWSfBN1hX3Kp0G+kfrgf6XYQtunv9ULjOC2FXP1BNXU
+MjiG86e4lYq4EMSCxJr8Uv4xuSfxYLEjEr9FPhK44mzg2TBPueMD4hv2XCZMVewnAQUv2TF1AGE
sGOPSVZMLGMe917TILOgpWG0QFAI/5eQXYbLLb4VP2FEsnRIHcYWcVZzqvQaydlRLwP9wcAZtjKg
Tvpd2DbK7R8CVLISMQ634qSaQgE+wbF2xFLQPHVOC7gqdULY1MjC4NQ+Fckjjr36UZQkbbvM57Db
i3NSlkFU65hQzaWoAqf61wYffrHv1WUTYmfBWYD+c3OWDkqUdyBScZBYiQ+TeKtrb0UUwoIW9c+V
rAEwN/q31q+0N2tYCAZTLd4HHbXquu2wKA5a9WOd0jGty1AcRJ3/uBbnmvaQVer0rWKbuvMzp7qZ
O+Svwyq+yoVxU/3hcU0X/gJjdvJ7xe+kY2VN5iHGCfzNRgdyQGPaHEvtkE23q7ph3KMO00FsFteZ
ceuAUN0Vcey8FDqsRx0PgEL4syBWQikKX4ger7nlnMipRqu9vNcUJEtb7j/nVMXQkYiBREgoMGmT
OXpjhpBmpZsIUHaFdd/VkFotTOPiMLBa/VMDBCcSlfD/dI2+1hAXbfcQF1gS9D3v95gSXbuOKt5D
BbgAgKHkIsWK8lxHzbz3pTE/YABRYIuYqjOhIY0nzprlmNz3vf8SJtSV0Ud8Vqy9OCWqt3X5IPdW
+rDWVuCm0eBqvsi+F4QLLxF6i25rjenJEvaFygAaq3RyczAWAJ62HKqFzXoI7fGGBZUnctVCYb2m
lpOiGna88QYQ/Z8aS3lSRZ0b5UjhTlFpe1VYwUYvI7XXWwQMTHb9HVq5+c4Icvk0Dc5zN6XynSiy
QCuMOyOMHaj2YoPxZgK6UvWLwaB8RB1mAqpYynJ2JzrAPBXSLSusR9H+RRGMb3CXqvh9tk7zl4tw
i6x9SNRykLzc+/LY7tUc06z3/7og9OfmafuV7ZffL7KSoj81FQNQn+XlRQcJemnMvryIrCarSE7n
UePhTtARax5ZIDZTvjdpeTsD9bR9GcIkgqHWK4BXZvuBHuhajdaf1HFULYyR0XwvOf+uOU2fslt7
6M8yRrhDoGY8/jKji9lbTP5GpGRuldW87PcT4zB09z0DhqihpxAoRaYTHzp8W9dxHIMDjU3xZhmv
Rj1l4VWcmDTjikprdKNMTnRfZPjd+ym62k0snR0ZQsRIY3k8LmUN3nzFyRyvh4HHq9SmsC9wK+B7
y4r2EMjwye5izZfvsgVCEhXxjcUiAioHLXeNgL36LpUr7baRof0Freb3iPENXwuGplsd8PHODFL8
xyUEPvgQLCy4SXUvDhIClGuqbdWjFYAxVCd79EBi1/dTbmBRCX0gMlEJUaTFdm4HeKu+bwM0cwAj
QWLdS/MuHOvqi9pUyDz7cvkiqVrsBbpevxUGO0EWuu1dkkahF7YIM8SEvRH60dGQ9QnJdxt6TwxH
OJP8bxOCQbtBV8pXqURNoWp++oY/X7VWl482RBkHQtps15717i5xrC+JCYC4GcvymGMi2uVN4oVB
MYGZ5JBkyniQI0TPRRnCU+NT5o/PaRHL+KSQWa0A4kZSTKyh3NbNA2v7MoitfI/8Q7ePbCnZVZLG
btOP4vUQ1s5htHr/dvLRPjcc9LlkWNQv4pASQAxfZ1bcBeD+dnKXjTDxGM5rhSnEVZI6u1OD3H+N
lewI0WoAspEh2HfCnagV6FhWetCOrlYg/hgoY3Hui6lYz+oAdlBhikeWD9yjThTbtYaxcjM1VT1L
yfJLAFn9Bb6pP6mtTJyIiwWcLU5bKqF0xDBRXRxEze3CrWyrIlJQ6+eEJFrTvlP7b5M2mpjaIu5S
VOZ/J/FC8Sh2RHTtvERPi7yoKlKiTJpagL4vQI7bo+pE5cWpxv5stuWz5jvqYXv8KAlHr57gpWoL
ghBH6UZXF4kvwhcuwxLory2h4OZs/CoUsyR4IzRcxwgkj8GiXUaM9lI1Nka+LR83JpQUeZ6dB0Id
MPOiIFjL+LAFPEDcdJjVuPlHWW6NJw6vcUsMyqVUpvsGjz7hpdW+1sMO0rUuPlkx67q4IPbDM+Yc
zIAZlCB/kRbI1y8iXp14xeKwVvJblU+ypkWxqL9VZV9onkYJ1bCkz7NTs8QpT4qRZSfxAguG1hZY
JR9g6HD6Imq6vHY4InJUrXKtuk7a3RB1+AiW8u31i48pytZPtJ3ezmxlIrUdxHfZsp/qdZHMN29D
0z/p0DKgYYE7nw+8VZNEqxD5jqiiaX3olMjPycOzU8FKk/bEsPLE22F7dlEWdJ3950KRF29mqy1S
ny75lP3wx7frlL7m4ZEjZOeajM+xrtnzXrSA1lLT2evB9e+g1cAK1RpjuhefC2N3ftk+9JYVZdsX
3bKSVBKQtn1wcebzdY7t7PISyFQUqAVxNXIp42JtC+g/ONT46GjPmdTMnihgJGr/JPWM0GaUWZ6n
HrPgWFwMxu5LjfuexrkkxQHl2epjPoughO5a6EjF99le14duvibXt5vX5r53/L2l/pxsFvt9wKy9
HOLlfWjL7/wt+7cycYU4IS7bsqIMi9ifW8kDzmFZGn73iXO79lTRJ8WhWwYCkbIEaEfkRUf+W52/
lUElwWfZznz+BXFG3Hb9hSkjNrCuYo9IO6xAy9/evqnoxOLDfirbsiL16bK/lf2ft9pu/+my0LEq
TDZB70bLGBnJaE7+SS75fmlBYsz8cKZkU53CbcGpKctIiktFfr2JuNP75RPhFqi5vReKlNpX87Hp
0pO4eQVj6G7W9hJ0l2t/Ft1UDF3bpPCpbOvJW72/lRXKgtwQTVFU3G4jyrbsdhvRpLesSK09fiv8
9FPbbf72S72iwhgYvKRaCxvzMpuuo9/npLj2Q+E6E38uFRU+1BLJrVIYVf28DuSDGGM//Jao9fmu
rLzyc+//3AYNYwkK27LJMrCI0UWUiaxI/f/WE9eKyxI93c2x2pzWYXV79HVYF8/3v5Lie0RiJBfJ
gFAnAni+by9CTDWibXcKyj9aD/hdDgIasxjCUhxq7Y0YJEQ+I2xxCaB8H+IqlEa69mUbWsW9/jrc
LhP11tFElU/1tj4mTsSBI+HfnuR1kv/Ujz9d62cSViz5sj68mf+cSrk4L4v32YM8BEa7AceFOqcH
HUMLaVTs/7NY+7A8CMUCQzzIdhBPbQUxquLa3sS5cRAvYxv5RfZTmSreItFrYnHWhKG8F302F0mb
8OiTjvXrKI36t4nA9tkTqy1UhCTgfkuvF9V9p3seQlhVo8b+sAZdn158x6ZXpD9LzVQsQNdvKhag
Irk25u1LN8jySn5nnkSjgawv3UlzPkEe+v5GxD9eP6Uo/JB//4zE82n1PJ63xrS2sfc1r7i9+Nmt
tYqUKBNn/5YVZX+7Vao2OrQpO33Z24uHE1XbpPgnIBqWPUO1W4dbrWKHB7GAQxQvW7ikn1zoU/7t
ltWdGIlECtWIj9kizLK9mSm/A02tLkmHFZLIvOriw6h58iMsDXd9ZcO+E+KDUaQZzoS+On2Y0lgV
M7tts6SYGsciTmZvKApArvgRXKIPfm4vRqTEoTGI/tfy9tCoD10Men+boyUCmQ9EKt6LitJoKDt0
e9kHAafm1susnBJVeGqAOsHIRawxQglRZD5VjQOUfKyOYsyZ65SlTAGCfN/zykTrFT3bMTomo9k0
2ed3wVcJ1jokOMvM7ZrG2IkqSgO3PzSITMDrQa/5/XZUduJNigNrIbgzrLN4SvFl1qFqQiAX1jz7
iyir4shxMbFcTWP6FYKqOXPdpw+TDlKGT/yX6OJpEe6VuG95EMeTR/UiukntdKekw0Q0z+MNC6UM
q5yK+mbxgxkj2WNuhE1++dzb80nEPe8hufiOHtILwR3SvkEyYvZaZCjOsYy5Dk2w1IXK9uvoONre
aKbqwkJP39MA/hEP/2FXty6sP5SuXU0st7f2PTR2tYRKYFl4X7Ntb1GxEjwjbXsS3Wt9ZcveUrRt
cZNPY9Dav0Xhp0tKCbdtWEKPyF58QuwJyRuxMPXzQ6HDDo06Fr5DxKUY5EF/udlgd4dpLB/1XscO
RJQosP2TMWSPOM5cBS6bLPBvzTjxsrl9NLNrETnWXvxqAqXn4nF0oUs/BCX7bloQjWXpXNBKuYZR
ItynnqSiYXuS6mc9rLV1k7ruYteVheiIop9vi4NPZZrYLYg6a/LTeZH9vxcY6zWiGeC+PchJ4R+b
aDiAIrPW7dL/ufowtRre7bw5rgOtxmtM/6nb0DhubTU3dY+YoeEkivCoM5+IMWVNilKRFylxMAOJ
SgEKFqwfh4OuzpBvoOejN8Z+GzjWZbBove9LbrUw63NSjwX6tFg/3u0QopmMsRm4HdLeoGbSDx1w
G0VFp1zXM84sxyfGFMyLhudk4XgSLZIAmAmogepBNOEfFSU9iO4nvjieNlftI/skml4792sF8dsp
RrddXtTzulQUT/bpd/9WFnbO4pqNbtuemdkrR1M+EMX1sA5n9dAf4K68iscWdzOboDhm7R9zirij
NTYyJqTwmxrmyry3pBlvfnqc4UkW5z/M8OK514ly7T1iVlu7k/iHhtJEl/mLWeu7tpaK02b5yHpN
3XWzkrsfFsSyigJmqev52qw/NMEPSfHwepIXu6DVOtNtYIE7FZnFJEHMwSGNaYVijhf730bFpibh
zQ7K6ADusj3H/Zdqjsxj2ugHLbdYm4rWZDVpCPCmhTq9/eHXiwZJVamwzS87a9EjxA8jUznj+CEY
b2t+omF9bqLN0D1lhb9DnvY01+GCvPuP1erDG1zf6DL5i5R4izKB3m4ztujnvg9beldMu6KKGPbe
VwpEI116PXtjpMcWBMPasiQycjM6jQQUoB/JKCz2oGtSLPRGPTRxNyz3+JCc/RIjQeVHCPlFJx1G
y52oLVpwGFS8WpFvIZFfUG/rEkf83odBZ+v1Ncu9XTYG6vqSxKtpwqjdlbkKvbXY1RsYEqYqOfeg
5WZPj9XxoOLAFt1Vy9ovhh4TCLPO/QMmBLQpvn1Yck2Er+2TDvYvbM6T6Tk4gjH1qg0vw0QRbPmH
f15V972daxhyxRpUNEvxmnmqSwj3/qIo4HTH7f07Co6keJnvtrJ1Ldsu/wtyRHW1geRK9cuAz3uf
Ymc759mDaBKiNUjONNOtB2+YAQmd0G8hGogRSfyyOVrRPrRgevzQa0RyPRSGm6qVdcqWFoNFztlX
qN+cS+iLlwWsVMtHTQEMNE6Y3ZGd19e9v2FloClDmVXZMsiJzyFSag0rI4T17yPp+lDi3NpolESe
9yIpCsVBfDWR0vBle/6/dptZj2VX7PCAf0UlSV03dXak54SrSeVAUKjuo741/MdmZ3WtdGysslO9
ASpK8WbWlZ0Yj/SKwPWTSK6GSvHx1+RoN8HF0H+0fjqct70eigcsxHSzcj9tAqfWh5R1TmHRVOYv
4D+zfZBObmpmhN1hUgrl33r4POLwPE1HY/mOUPsQRCDaiRi21k9sEYfrJjedvpgfxBpwsaOmyyFf
DjMkePsoSF9FkTjo1U2PGsBZVM/Dq+PwyOmyCh6XHmm2NWIT2Ys8f+/D27F+UIGA7uL80Jf6Q99q
RLZIuFUti9iIRhk9xQTmwmIhSKuTTjw4tJuhq9c0HhNH357NVudKtYJ2JtGED5ptJg/drGlneFav
waLEFcX5fPSl6BfBbOYul3pp51SwAQcEJmHMtxpc7UHxDHeq4bV6/Sdbljiz4CLSvCgwduDy00vc
2eFJ0zTpaPpRBrwWR0Ux29pjV9Yl82WEA3XJorTzFqlGfVDnyEUk1L/O0/OsoZWXE/d3zVLCnWQn
s1Djwf3WSxM3JDDPOURAFr8k0++GuOlr2Zfm1WhpK1Jad0C3I5ia7ch5bYCw7oi6lRnhJHfVA60C
nyY1gUOVAqCY7XSLTvVNzuahkSFXUWEBiCRZJ07BuLfj2eFBd5Ezhvu5005SUMffSv1t1kL5iOyv
uUsG6UlJAjjiJHAzWrPL81J7M8OvPcihZlkPo6CEVMDi1ETWFsf/72bIjtBfgvXu698asnKSFyss
bYm03BHwOe+gNAu8Ko2r3TwdlESdL7Idv0bdCKgpQxIJPnfZreNiOJi6Ht/2CsrVi6ZPLpn01cK8
z4PALScGx860IfM34vaoII24S+NSQ7g4yM/5rDzzPNplJKzg4vi4Hul/hd+DwMzEkVA4CVyQ4SCw
VvN7AowoDkNKYHI1q71nLncQt7FEbbv9NecgFZBsT1+c4vtYAsyZnMF6iZrq1VBb8KNtnD20w0iE
ZDjb9+Yw5Z4eGc1+m+DXbRQk+MluBv3gdZCrWl2Z38Pl5g0BLwHl3xt1+aTaQlgRWGG6E/N2p/uO
l5na5JmdM96noeJ7PnSRO3vJypp8BZ1QEuKjnqUMLXhUD3F3Req0R+RH9ZoEWBbQhY5o4lI5qDkc
kjOyDdUxd1I3tTsFvcykO2VlDwV9NCa7oEvMnTXXwEzlyEXBN7jfDh3Yq4uTZwSp8XUrHZ8Z+9MF
c3Y3+YaCDA9cbr1UPyIEAY6vHjVkyjzYuyNPdYzQbW3z0eny+Abviu8SlksktdSDR7CaBNv2o98q
MeiOMYYO8b4diLZdD5NuohZbXONUNVDail7bPkU4uy0Nt7Kzc2IliAAEFrqoKJQQVi+F93YZtI+z
XrePTVzv+x5SOpHT8lG5zQbtnJV1cpssh9SCFr+ernMBnEd3RmJxg3+JDckf5zk51YU1XsZE2f9r
wClKQJl9jtVeu4EQvzpBtu+OY1V4QIJDBJgN5iA8N4fJpkHZkGPsdL8cXamajXuj7o+mlTXneigI
KmPiuxGp7VD6EUghLdmbHdqpwzi6NmSVV59c68v6rraMAj5e+7lALIhIhvTeMYraq23YdY05cU5K
JTc7KAiBNhpZcAm13gtKW/qZFM7FRnl0grKjlVv/JwT3CSEINZiZYmr1YxzHR60oQOkanf1PnERf
lAINTWkOelTrGpx6FlwDAxIWECyXsttWIVTiCwm+lJfGCQ0+XFUw+XltkQc46yYICKMStUpTCi5p
F3h5Pn+rW8V30xRwQThAXVrpX3SjLp/BwwJKdwChlnzGrDODveX7mlt23bfeL1AzSpNvUh3vZXOs
oOCIMAskXcTfdm7LuPuuR0UEY4aPsoxPWzJNfO5Rbp7HCmJhmmhxTjK1QabIeQqz9mHqpvbUAfLz
BiQObkG5PVU9TmhJctwYP/+9qciSm3VExYLqXWgBGKexmsiegRBsm0iWl5gURxqOzxpEbvtvq2Se
woYPdBrhYrFvH9tlHdBAJYxrYYFIEARxsisgcA7xLrDiIeapt0hCJrK2K4PQdWIoP5XOAjS0NEbi
QDtXhbTXI/TececqeKrUbjo6WVu7ZkEsi4oWbpJbBk5xXp+SZy/E1GdQy6N8Z+zaLGlRhRofMbWO
umXeNboPU2EDoAdO7chVVWP0DJ3gsya7s7S4fA2l9qcCnO3GJ6+/sPzlWdHgq/i7lc9gVrcS3LON
NBAlDlYqUAN/n+QubgE3l3RjL7SgZ+0/GtE9SMVOHWFQqBuvT3R2gUm564Yeg2lWMGQnheV1ErBv
CUBAn1aqq8uKcVUC881xdOMiNZVxRW38dy/HzcEydXQNE0+rIv1UZ1gT4ujXACMz8hjZm1kN9cmY
rpluKwcdBRIP9xfdlIhnF8SRdinVWfVa+ZqWZesxHNq3aaf8iPoJNoguJnjNb9J9URfxizn77Ddw
/2PHUHCIKVp5q5joV6eKfSaMFZuFNgUXCzTWraxIFRLyMB0rPXClGVhLhllIVZ6mhc6m6+r7saiU
p3wM6guhub8TCCIKwxuBXx07U7pXsu9VbcovEOtO5zArqp2pSMMxUTA+Gm1v3lnLIde7x7qrbgo/
VM9NHYLqSNSJmD75R1kGFjAeRdt3Oc52SDtduU5wlBMkd2M00EAYUkzoZh15FZr3XqpB1KoVuePR
l0HkGub30DB/FH6QHhInV/aOYg8HLW5Ps1kWntHrIVi8YSTYo612djY656wuj03NqqwGxMdO7CRB
637LYtX3YnW6pubYooiddOiFK85ejmFIAWbd3lr0xFMlmS9tX1WPZihhFhrVXQrMZi8NqHvNrfqW
IN7KzDYRO6kT6abVSbOnHdSXoTWTU5BrexXLqBQY6t5J1S/F2M83KqJQbmqM8mMa4Gf1C/U2rxF4
MGZpoIUhepeWQ3ix1F/QEUv3rZH67BtluDcSeWQW6N+AzYLpjewLoeVoILwfYruca5aeFE4OnEnc
B1D5/JxHr/4w9a7WxPIh8wPt1phQZW2mIfPs5E4OG+c694/l/7B3Zr1ta2ua/isb+7pZxcWZjToF
NElNluVBtmMnN0TiOJzJxXn49f2QPlU5+3R1o/u+gYAQKUpWJA5rfd/7Pq+BJrfF5oC4lqoNoRPB
UPMLLZPe7xlS5OXcAbTXyUgjW3iP9YqenUnq1BA7Tw5j10qhIJq04GU0/SUfCGzvh9E5rbGXAXoC
hYM4P1W6eqc0dhPktSI9k6Qcfp3omKj+1HDaLQSgBULqZ1ONzR2yHh9/P7GfjZ0cKrpefVtNWBPE
r9EdjX3e98oN4VBzIBIHlGi7XmZTrfAK9xsCCb81Sjol5N0HxUB+sFpzRZyq5kRWCO4mMroYHR0z
ksT83KyeRJvOQUFl1nbrH6kwwAhhUvFcOVwU8sIaPcQrbNWvuaHShC7z20a2zoXIO4dkq6zbxy1s
HHK7kFOqo0T3tKsjZG5zVFycqcFg3RijvJlH/cVs4oFPYkxY/S15t6AxPsWzjYTeLNonIazmKWPc
qxZaer9tGhivgecm/nh7cpDZeA1NID/xAKnBTRU/ap2JEhWvNIt5uSiiuRpT3zyhfdJ37hwxonIx
aUSizPaVVMg0IYainvrwxBWNP4xSftXjK+d+nNS7Ng0R9Ts1eCp+vmDbedumi8CadBcxKC40QMmP
eqc0J8eUdH27nK/cbDsAHHUaB13U/JisEr725BZ3Vj3YqjepEVEYVXr9h23bQzvPlxs9rm62te1l
nORkNFnzLbFatC6GcThgdFCvltpNVzvYHm8LM2rh6I6U7n5vq4X11kdheuui4brWiTqBHx1ffu8w
Dl0U5A0Art/brH7/k6h0xOMDGnhHVcMbzc0+ADFEV4RQ0bUnFXuf4ccOfm/TmxrzWotwr9TyBCVY
4xzG0Gnvtlcslb7cMdY6bGvbomtHqsqzZnC8OtHVcpxAs8vkYWjAcWiWnp00PC7XKsz1S2/N99va
tmhN2LY1roPjtqqW6Xw3LXzIdX9Nq6Onrse0QAKzfdi24Sbo77EwHBjFr3uw21yTpIQHt/rcoxZF
89AaJJh9vgd7IMDuA2Mk63vblpdKHZSFEu7q/pdUevuKIdS+uv0w7ZwiaQl7J28GRf5Evo4SP267
JAVk3pIbtq92Ghpz9Le3bckw10LpdtXakWYO+WfetvPnYhxXiHgZHmWE57rq9adRI2+ZQcDg2+vq
ZBfJk0wP6mjpTxnjmSd1aSKfKIz+tO0wMok6pYtCePe6/7YL9JQsdJnwRpNxKiwtuSrSLW/EDP4g
z5rkmq4LuUpLG6OoqFSxui2cmBlqjazyhoqYzIiVAaWB4X5QjcpHUGg8S8Jb/ELXGDE2pf7MYG7c
mYIE0O1ZviD3uFrr/cpd9Ocos6pLNcn3bV8ijqZrWMefz2XjT5WvZV7imkhvK7stu/RXBrEBg3QT
3zSh3d7T4tKepjQudjFG1pzgEz+dZf/UmmN2r9hM+Ne1beFWa2pmKMfPbWFk6BhYmXuEGnlkzrro
tGqP9zt9+HwV4Ug7LtDzbntSJZb3oSbn/fdb9m5peehJxWnbRqrXfBOvdP/tBdu2cMDgH+Pg+tzD
oT1QElO521YnI5GPU4jbbf2UJdGZ94WSHLXeTX0LfN6pF4b6JDsk8arOxKxxMvFEyUs8TS7H1qB3
j9smK7EIWl+s4rC9IJys4XbQpx8MisTTtilP3YshOTG2NUezLQRMyrDbVhOLL0uth11dpcdaa8TF
NdrxaowTpA+pfeXmOF63xeKkJMOYnVhvmH/fJl3HXyqRPHzuMVcOfQV09jq9gENqA6CLeyKqhQjj
D324bMSUalZ/YMzWv/AFOIFilNmdUZsg/mIhDtiwu0elI2Wu6jT321zHJ2NZ5C+Sq2+mUkkuo5u+
hyuL2WWYfWuvC6u2Q6/GVXyv6/RN6rpqn3qZfp2lwtcW6QtHeQmKo7YCxU3ioMSafJd5W4kgbqB4
TKKo96piNJ5hFsrRafxy0u7qQQCTaxL3aD/1fbFzlW/oFI174hYbGrQYzSdLVF9awz1xbkZ7O1Rq
zwbsMJTiajsAKrr3NifSaYTSBRzapvwRO4/lAPzFcHUJGjpyj+pr2SIcjtRgJjT5if/6vhFW8lBx
fVwy7YrAcw4w37pMHd3pYi612GWzCSlkSX0n1rNvQzZa+7FJKTdUJe1X096RqiwIcaTm2k2xcdbx
iupN8jH2mnoTSfvdabPzUrnJTlsWHDRanb9G1kF1NMZ2hGVVVIF9N63VL2puK/s4TWx6vkV23yXK
TxyP0GTqBNKfjcYyfufc0L5U4fRg9PWLIYr5uWpzhSzF+oecCvWUrSEQzCdJ2SRF8iTsDmQZaDQG
o73mpVmWPpRYxtBsq+F3d7wJLQvUw5AXnwtBcHCtTHDFErl423A615uSeAzahcm0PI8GXEOb8Nds
KtM7MndSRohWuROdaPdHIKPJTxu4h6/KxLovgWSsDWCLYZv8qc/x9KWd7WtmmtFPUaRfStMhXqqA
/4W1hM6DUcdnUU/hjT00+bExJnkHqr2igwKGk3Fo9CQKs/QTBMBfXVt5sQe5/BKAZ+w1+agMc9rO
sAlId5+9MZX5i1PPRrAkcXuEJCA8k6kBgax129yAHmRoFqmEkmSSTME4HB76oe+eu9DqnufVImYV
w3Vby7WSKWmsLudtddKE3ElN9vttdSQ87JTjEPD6ruyfM2u9oeEf/f1udansM802H7b9RWJbRNSa
ElYff8o0smIfj+m021Zd/KNn8jWYO67Pxg23ftOcYRexti3IGbtzjJES2rqJ/Ts8AgDqt1WrG7Hk
oWkPtlWicJbbiAr+39/NLoz1DrY9t30+U9qvi1Vql+2zh6OVBgPN98895qJhFu7OVCnWP1Vxv7jL
zfJlW+uGOQpiI8u9aA7j+4FktXtEC5lXpF1J1YFt2yIdQhGIOULy0VhKMOOmJ9dQje4JB4a5D0H1
XlGV8saujYd/2r6txjhRzWGZb4eOIoG3bYuGjpEKwvb99vqR3g8aezfd9UPt3s1TrR6aibpjq9sc
0NvGbUG2nDeonNi/N1EgdO8qBPV+N6X25xtsz25P6BjjT3k+vJFKf6c2cmBipVU6HfTYuuvi+Xl2
1OX0D9tmPEp7ZrQAB9ZdSq2x7kQb8xIbcYPNuPv2c5XZCUlFxRgf19sPTaDW9JF11My+1tfobTXc
Uc/fVrYF8B+eBElCwNzc0XDZ1rentHkuzgmOJK3QrDtjXXy+FeLiwhs1YR+2jT18Pvzp7bBP63y5
g3Sr3eBWI+KUtW2T1mjHaDCXhymeT1gsazg7o/GCZZ9xUK9+rhHnd2DUFz52sWu8ZGa6rxerum57
NqLYLfm0fK4lcx20yeJ+rkmUuKRVVU/bniSBe83SzE9JKM2XXmPiaPTu53N581MLmZwurumcwQHJ
F1mIvR1P4jEfnepFwYvdZ2l7vz0HghRGGdnZlyaXxd7IaDcYTnOtyPodTC/R0CnqloO2U8la2gA0
qPPIDpJBPqULqXZtvOhXNO3MGFJ1LX3OzRFURenD++f459DLmdwdtYG6yjyIyNMdgo50WdUnt5+5
Beqq9YADSdyaU3vRV/90NjvRzTjB7txWRVVpYGUsBmsmMo+UcMEJUI0PWdEJYqSjhwyM2UGZvzVp
k7xHjP98OGXtgwtZ0MPPnwEhtOWBE+iL08IUrJS03Emx9H5ZrOaWsjxL/OLQlmCDpE+16M13jo8T
kyrzZTCoKUT4Y+M8U14R+OPzI6t0mfoyoaY8e+mdozlG5A0kRDaOpn5kinJxQ715L9z0rd4wZDO5
WW1BXB+FVf1IMNY74SVXM9ISqMN1hkZAZPeRHuoXV3Jgr5vSdbE9ctRUP2AESb0QpxdUpfAJB5en
TK17IM16eZ6q7mFw6+p7Si8RR0whPB24km/nSgdNT3S3mtbYwaLbQIvtekY1qCRU55tX23Lvi/Bg
FVmDIoZFQqgU3qSgKhWF0C299OOheMpnzC6VJH48N/p9Lxy5K7j2+dEwjke1jGxfWqkGOKRq9s1E
aO1YhvFLOWTiaGnY9615yAjLqA950Sc7Sz9JOTbPgKW4x/RAK0GsPm5rnRt+6ZWpu7NsK3+ZE7BQ
uJEwbK+rmRL3viGm+TTNVCC7iKvnmKuvYTboh3Ip+hcNmMeu1S0TbeRoPWUgdSl2rDPmBo368Fgk
Wv6sTVFyiOwh31l5u//zj3/99397n/579FHBZp2jqvyj7FdtUNm1f/tTN/78Q35uPv38258mo3gD
J6qtEy5pC9XW1uffv1+TMmJv8d/oM+O1SOPk2Nvza65aNxvKtF5Uh29Qm0KPm0tFaO66PkVxebvu
oyXV18hcuK/JWjxGXPiDqljUz0fbtsooQmQUPBuTt8cvSeroth+wQpjAeJ0/aTvzytiR8G+ZmpnF
cePrbAsGDww6iva67dE6lrf9x//1L//zdvsm3is5c8/DQfvX1X9/rgr+/dv6mv/c5592uSTvTdVW
v7r/416Hj+rue/HR/vNOf3ln/vrfP13wvfv+lxXwVUk3P/YfzXz94Pzv/uMXXPf8v33yj4/tXZ5n
+fG3P7//LJIySNqO60f359+fWn9xfmPrHw6R9Q/8/dn1f/C3P/9H/uOj6b7/ry/5+N52f/tTEar7
L67r2o4Frsk1daH9+cf48fmUpv75BzKjLv7bn5b6L6rKga6qmmkRAG3xR1scsjxlOLwBBxyWRtdw
NeE4f/7Hf/fvB+zn7/RfH8DCcc2/HMKELFqI/lRHNyxhcDDzfn85hElW18KYaNT7/y/O/gdvxiZo
2ZQ4n/qW/xdxdgK5z63Kb1oNZoqEX9w062J7pIZITnp+Vn9e9RDlZvMBCoYdTNiIU7eto7oz1FKh
D7h3c2e8VejeP1ep9QpZpr1sa1Ebq15KX2UvluoRaqg46G7cN167tv9qUDKrCmo5QGLCE2fb2VFD
IPAVeIsxjTW5uqp1XOLI2glVdrdLjisTpNcu1GT7Ri0kPmDWG45Zllgvaahd8IkQPK6DT8yG6d4Y
my+jwAlpM2zzZe6OJ3qoauBydXqTFTy2MZM2ffTlrhhV+VB3Tn227f5Bzop8aNMlObUDFNoIbfi+
H5XmJkODdDB0LfEx5v5c6JX/QNH1i+G+pHvdNCb1OWvABps5MHfLgYtgbttnwAH1ESjiowYN+1HP
GeloKWWeEXnHYUgASzKT4CsKtfHcZtF0rtfF71V9iCS02PHF7sb2ElsZ398cESDQ4ddlQsfGbCbu
jFpPtDfnnu7XurBmJsahke9FDbzPLiL3qYe6eOJ2o3hRd6MW7WM6W84rLn7rwHiDbvLSHueCgq1F
yWgHk7PwM2U+LGUYXSoGKSBzpXygpn0pxtk+b5u2RWyX8SF1qdXOptJecq3bmaRD3680j3vTdZxd
pI6QRtdtQ0ccdisSWnTTaNMyquLnToeSuFhqcRc6qXKcxYDxuXSKPdPVkNaUqX9fOb1RbYz0BrLk
0DnRk1EK7aOstH2dqw6RfmF8MwPSdGC4td1s76rZXXmfzjeQIcaxQISBlMOF52c04RthnRRiU4ph
hKKHTYv8YjB/FEn+q1o0JUhb1fZh6mm38KG/ZHWroBqS8oyfV5I9HsnzTB3HroVzq7uL8dByMfUG
u7YOrVaR3V2hYCBxydqHeYgPZAQgMrbmc9FPkLtlKE+zqxjP/C8+SielruGW6ikHO/LaAr0z87L+
Bk998koBONLUl+4wMtJ5U0vtGidEN2eacraT3rzbFqqRpkEfQQXcVs0WUD6szLCXN61my6771lfF
EOiIWG6IDMlzz3CmmyyFGB9uisL1JHdNg9P797qybgS5/B8bM0QRnAuooWBq4GPbXHhWRGi6ZtJp
GVZt1LQu+k3ptD7atv1vV7cntFVDtT36r/ZL5+G7JnT05OuflBoWwO3RYKzsS7skZvlljjOgnMWE
S3ddENaOQTSTuHh/r/9+envUWYSXGVZT0JHlJXLz/PYQS2DmDrvfO2/v9Xv1c2cCK47CcAJ1/UPb
YljVdd26+L26PYo2hd0/P/yH3cVrM5uEGmwa5PVrq+uW+FU5Iurm2/+9SFZZ+7aabOrLLicSvSU6
cHrEeU2B8z8/TLu+jQtUuDhubzs5Ro/jd/0L2/q25+fz266k0VrNeXsenjjq/Jp2Udy8ujEFX3z1
ZjCS+kvP0diXVv+LvnTlx+NU7VOUnjdw5oVnKykZn7Iyjm1f/LIVN0hHeasXWuF3c/ZlUMsyyK9O
Fy9HtIFrgHWL2Tseg8htnonCJst3WTwFS78fhyYz3tDeN+lyspcZP5FAENAwL6wVMXnJEJmgDjKa
/M2pUSbEkE7YBeWIPB4i5kGjI6ZnHNcG+i4jZLJRy52TDS2NBhEH0qHGYIqPuCvmMzPpa1qF6NgA
eXuxUIlNSYE69vJX1RV3OSFOQRP32k4bzdsCYUnhxOdQyZK7JpR+rSqPZN2fB6kPN7gU/NrO1/so
aOix7wNbK43bnEjL80JmvJS8fim7nY6/44hCxvZMSwYc2uVem1Vow4lGgYU8Svpsv4pKaPeG6O7i
dLgAmAelkJvGZS4EbTz7rPazHTShjnaApGaPJuyykNyLitY+acw1dxwn8Yp3QJLsJm/pSMiN24c3
kUrPokLO4jvmZU4RJTVpAJNDZb4iz7FuNbdz9+Eudec5QzIEbqtXAT90iHn4qNdQpAW6Id+sTH5O
cixMI548a+5ar9KL6saGe2jzhnbVvsS63R4GC8bUzAVbutMPOO/ZY1Hqv6YZEBpoW+aNSdz4lbSu
hqvC9gaOMaS2G9h9HgxTJPdVh2inRNatC8XAPI4fXkTNLSVgogn6WfHFXLxMbkUozrhzhCaDxQZF
l9gXIhIPKTj3G+Y7987Uv3Bao6qJEQfQPZqHnstVKT2ICKtwI+09TPSWPw3oUkyDK0BcDCj11HxB
0VEg5I2N61A5qk+cE9LAKjmWpQDkOnBpLMh010goxVVmiWNkZ5w0S4UyHqFG17nqLnOMgz2qCJja
hEq8GQig64TbvjEIL/y20ppdp2fPswqcwVIOvdJc2/FhGgyCPqq30YxV1OW1ihXuDJsLvHpYguRa
an4NrWKsESfINIy8OqCoeCb44N6e+upZmbNL1uv9zk4ZhcyggvvS/pIndnjWMll7EYpmqwRpk9SW
1xCpuCPomiRjpMR+NpZuMKrPss2lRyZ0+xChHajB7tzEEih2ZKnqDRWYh3Bao2x7ZNZxRCeZKNxD
BptDRSFy47rTOepBPhh8b/NCQnA1y6BBFHrbhF3sG3EI8QgVYt/Ke7JfmAmX+MqaULzn+qTsS616
Kyw+iDFFuzIHc4etd0Q8AHPHnbLai9XiHAvo5aUwc+4+K2A5FeSRkuY0aa9trF9ta9SJyyZ9syl0
PyyXiLySmKMv1+WV8+/YLMYHpQrHFzYjHb3TRgoT3lKYyi7TKz8bQBZG6PNmtyxPS0bHS2YKh7Re
e062wFBdlfbGN7TX0yU3tb3QUFRGVvVU9fVjWgwfNvktvqKSBiZGGjK1cdrkuTnsVccBdhb3NoEP
esbdm0vgJf1iUandJUgPPZKggJgQcR1o1tj5aEre8ALdwOdE5yamnCApLsS5MeFtqF6hRFZcF9Ej
mYQqqC5JR3RJqAQt0lfo0/mi2WX25HrDqNDt7JZ9BjLk0MIPukls8qC6nZDNeDRMtb0x9Db0XJRh
B7fnmjwxPqSHXL8WKJQoIdTFZSKZyCv1RvhGYbzIOLaCdKZBoCVvYpQxF7a+2dXKueRi6sVVQh/D
TneuhKFGaoGFsqJ97Z3IBmVdUKybhvULRTZZ5tkRal18dCzlWaPB4DuT6Pa9PT0yuRAHyXXWnUZI
xyGtZIp65yVdPibysDw+vrOjWwR/qCNfSskJ6rD0SzlzEcOtZe4WI6bUpzWnOOJj0CrhDGgp5Swi
Ow5kiXnqoI7H4qcRUbLEFw97HgFubaFVLO2vZLcJr4zUE+kuNMcyFO4Eu+9dbfq5uMoDTRtam3JK
DxONpKDsdURVpLGXKth5iJ47owR1s5QXoSA5tkZ5P/HuKTGufqhCD9FbmBcCxTnJruia3RSGDreR
W7DMN9LU76bYbdE3g4oohENJsLmFGQ8dDyTp5FTNDtq37il6M+7n3tqVKFswsVCdKV4bJ93VM3nY
4IJvVc6ki6V/C5NcvbHdZm8nzi5NTHkuOeTtGRTU3EAeMwJ4ufZVuPp4RHF1rNUEw49eo89L2neD
K3Y/HNPR3rcD6b0VuXp+QkfZQ5H3lYw4cJRz4x7qacKNU2VhYM3MDBLZPeWF/DAocgmmNLcirX6Y
jJ5PaICWETl77GjPjSm+xUX93W5NpB1mfJ8CJPX0vIz3VfpElEuHsE1p9x36DU4f1EazCK8Ufx9d
tcpJbkBCYM/2GCSW5OJgzPK8DdwricKT+aqfu/Ul1QsFcxCzghAdGL047Jbm18mZ3zgMKaWiuJZC
x+yYy19Zj9quh0DAf2ShQzHQ+dJi1A8ZSOZy+RXL0PBlG3/Ufa3vJjPyTJibe2NWvJr2JhQKRk9O
/ivSxOiBbBQBWNbay5X4qyh0GdDaeFlwDjK2Ji0MJmV3bNGT4gLFe5qOjxFpMr4mYgNInXZ2IxHf
cdPk7vhQVsaEMNlNLhDhyRhMc1ytAL9KAc+hdvFTrQ3VWnXdgLTl2Zv5CqKREmw06D2srfJru3D3
pOBtnlpN98a+69AqFT9gAx2qXFM9hPZy30Tuj8jIP7JonbfZ6JHSHIGwNDKaJqiVghkMyM6ukbrP
HWMOMZn+WOIMsd4UA/Z6lBKpW2jETWO8WsWJ6ObpGSXJS8MVXW+7H/1gT7hECA/J4/wcLrlByzQ6
cb2Y/SXZ/Ks1GWgrTxnN4SUSwIclg6A5kumpWbSHChHWbrKqkUgjy7jv2ys5U/lxKpAjDcXZxnrg
mzExeRFTZi8tkvl7Hj9NxGQkdd8FpjNGlzgL90PWnAzb7s7ECB0SV7eOrmGRn6h9ZdoREb9w5Ppp
e84crhd+vfDjFZJeqPatqhHKNQ/YDCJygIbJHs9Fg2orK82G8VatU16t30Jpg/RXMYci7C9vl4VS
iKMRZZWFE/JErHhBgo45NrFaF1jK0D6kBPfYv1Ck1yTyhQcKmfGtNnC6jjYphK0cvhTgtE8jrev7
EoDOfZVxL464GlOG2YXuKqqoJfx13EvwRihhc2nv41PyatAAf5BK+xzVwzv3xFPT6l/GRnS7tKWv
nMdAhDoQykOSHkYXultXLk+NDky7KUfGR4Ow9kard0QF2ExqvbTH+RT2IZ0vJ06DaaAHOqlYGE2G
6YM2pfclOrFAVSvnpdUVjt+GBtzcs6J2r5pq3JUXOagN90Ky5kwHxC1YXU+TzP8qMb2Bypyrarqn
KfgQ6vRP68Hp/UZbMbPkOpVpsQvnMD+u4zuPxhSOnnkguIF6zb6jhU5pmzEmENr5NKTvZUbAjFW7
wAaZS+CiGV3qDLMBdQ9zOVMhihDh++SSTkN/CL6iRrGqbUIgdbgGIPwqO4xvX4B8LUGl1gR1Wfl+
7Iro4ETzuTY6CmhuT/tqugPxDA9ZMWg5FM2hRNJ8lFIPOeeesfH0+3Z0+zNlkLdZq7LXHocmnSQ6
nVzm9wMEvqWzVgzfYu50BxMoPk5cPMOjEekSPWjHb+tA1ylTBgQQ3SNk9QYuV83yIdxGu0wo30PM
kHTJkJrUNVOvDAWiotKjNpNY0gj+qAouS+h/kcRV/Mbj8E0YRX1gpJdwMRxvsKwFiSwfRGPFvpUw
Q5hEiWIpNF9GiainqccEFOI0Xx1z6A6ViLDs6mR1WD0ZNSPTkYFUwyeHNAQKTvulHOY9/yHGFnG+
L9vKPCid9Qsuql+MCjTYtQE+M/pDbq+Mp2GWb4kiaRXEym1Goct2I/u49K7YkwRD1N+wTtGWUyIL
ImFehR4j+5J2dGdZYUePigY44Z8+2erpWacTSwaj82ZnUeKDvjgS5mifqqr13dhU/RRn5gm9/E7p
NTiFmvZstiaxiG7EtS66tIr8auv17MEahNyVHbHwdIHIxP0wjXeQ9napM3D/VhhxW1IlR802RtrD
GHTIABpptGQhGbAZSu8ZoB2FGmi4eeHXNF929QIRsKhNZgE1dxlg4XDNl92sqe5BOJi8xQiLTp+r
w/I1tpPWc0xBZw2UxT6KvtaiSw4Enz0MDsIJgdIhGBLpok92cKF0jByKlBpTNoM1SMs8qOPkQYLW
ZNic+VohMko6B6kZxdHqF/Xa5R41LNUrgAPexqbzHSElmJpJmc/6SKMPh4vYI4VS7hbAXJeQch6W
m35Hq5lpTa2HQR9TYjOcDFNNY14FATRe3IgfnSwf5yV6jdTqh1OEJxtZwYm5CMMx9cfQNrmfkJ9B
8JK9t1S0eDkxTKduj8QuBNGdr6wJ9Igl6TRpCqGYyMY7LoDiwEn4HTByO31N8ILFuc0pUYgdfbHp
WKdt5aOpbvjY41cbjDljQON2QIiEDrB9n7tk8URH+NEA28JeUn5c0t+6QiBupy1r05I9yFnr94uT
nbsy4ldRp3TfTap5p3c1gokhfKxwBjCnKJcAX//i0e+fg6as7rBT3wm5PDdoLE11uZIbgvSlr74r
XVbw/vF3rPxI1E13OXTjrZ2MpGVRhNWN6DFcMhFIIMgUF6P+jjqQ9HG+ei301KsU1SkpnAS5uH1U
auxlZFERiDbHt7o1nvmsQVsZWRBaq+xALExZOoYeQ7PkgasUJvkhfgxSntvqm8zKd1i9FvSUvvFz
DEI10qUdYXQimExwxiI65lYZBmGqLb5ldY9oznDItK8R/CI/IgcAF9A+QYftJY3yzeAqRGShfqAb
u5uGSnxd+7bKqEV7kB6Nb3DBvUEh9GipVuVj0lN3NhpeJcN/m4ukCLIJc7HbcJWakmwPXTS6jAV/
Wp/DjyZJHL+HnegB+tLP8dy+W6ajeLQjrF0tC/KNcHYAuNY/qqlNSV7tR+7iVO9rBzlnDsXN7D7M
ZLRuQC6aXpHYo9/S1/fMQUo/q3EuaSZPtEx0gqKYXmmAmYgqCFrhB4wq/cZSwRYWHFOHSC5BntSM
bbt9jtdcbftXN+zd4I3iASqkhY/pTA7Dhoih6ZSVlzJUbtcSidcUk0O0s3Vfa2q/k6vpy2oYBMRa
DzAj49471yiHRE5Fn4BVScOfUC1lv8TTPSaJfqxvVcaYXrbetto6MKvH3sXrbVfTu9nyfWuxZJAS
CnIhQ9ernY5eB7+yP83Zcy9649lM5le1WrojdzbjpBCFWLXqUc3dkAsn5ZxBL4pgLnIzwPV3kwN4
JQgSs6L+E3WkEYQL7GcGqPDX0jw+9kb6ME6FFVTGRSvU4ULOMUfBshBahOtEjeP3NRUmrIya+zql
MtCnBHkxnzbdyWtmnKxxhM4NQ9xySHIMUFN761TK06CF33F33KGL49SzfhpYNhB5ziPCMfTwuvXS
90BQOSnf4sWqd6jy39Il+4K702RWqenHHEOTMc0PCkombYxXVbx4hVo0AENuFIa7rsqk0BzPfTV/
oO1JULQEYOLuINRkDF+NA+a+/pxFXIdrw0SnvIb/pd0Pfl/OsN5tLqXosIq0qJJJiX2ZkuqSxxl3
/snsjmupgmKZaPxYJp5QqxEb63PKbiWTLpLtbvKF0L3MSvE8ue1pVLo3+jfaDoPOt7SM8vtMh9AF
j1ktl3OkisRr9Knx6qhuDvIbUQyUUQNiYkC4NxUC9HUQlJCw+UZIwoER2MMYTiVyjyR9LKxvSF5R
oVZu6NPqCKtnMwfQ6pgGMArIBOMYf9FGYfOg5bBUqd6gpGRAEs0eAcjtfnSo+vU/zJbyALcMYs3D
Yc+RhO5xjXUmBwfPW7mjmrvsja6Z/TB8MTsdn5WDhyxZj65Wzo/8qh+zRjvNHZkXdGvEa6wb34s+
eu/ttYGSiVdpLdzItDhlkNG/jx2dNvvDUD0UlupDV5D2OaxWchpyWtCqQ3q17H0eKcx2TAXDpBZ7
WPrte9utfjnO+EZ2BmoVnCphk19je3D2Fg6RIXPd27DpSWuniReGEIqQaoPmMJwvc6ygJIyJw7B+
SgUrKYNaQRsy7I7q/JQpVuOlU//aNYhd0fNHmAvRu5g6gahchL04E+0dvumDYfe4ltskO+oDSTmi
Lm5Sq0XW3wyBsHTXRx/6vSnb2a+KwgzCka94IrMNOnH80DnpsB9H46ticK4pQ/s/2TuP5biVaMt+
EV7AIzEt7w09OUGIlATvEh5f3wvgben262g368GbIAqookRWFdKcs/fapzbRCkowzBsiDVgZhcNS
bWLMTuynNdNwVnZQsRVkKbQcnJHOmQw3oq4nvdJnpULZ7cqI/tLAMmKWfWIMLZedXldrCpXaegyc
d69HCqJkzWsgi4OwW/+UUPgeSJJfRG1yLbSkvCasz5yu9a6BeTEcZZ9Hxd4xvHCp6CxWcofCC7HV
6EAQMRs0Vrc9DPBl46r6pYu8ezI2U1+Ksk4gTb76uoK1vcBFoUfi4ieNt/X9YuHxZq4yif7LFF64
CPMaUVPGbFpRjmuxWm8qQ16zPCd+ZTD3mppuyODOb0IUn4j3qFLRn17UjdVfxojFG0WCXSOo0QAv
oyNtU7EhHX2V+fHvqEC3mHVs7ShRsKmOcLB0QZOtlcN/0f8mjsOMwPgm3PxnTt+/OH7/etX8cEZA
zI/ohf//Tf/7LwnS/40ECbGOjUbnj0ztf9IgIYT6/PX1bwnSPz/yjwbJcv5DxUeuOapms5ay7L8a
JMf9D8dRdXS+qqbP+qS/kiT9P2gUCRKUWX6pNiGkfyVJJpIk07SQv5lTXpLp/L9IkgwL3dO/RXU4
Nx1hIqazTWEJlxr//6hIKnLFLYqgwLJWosf/GzVfm8o5qstN1ZcnnAWwblVH2quwiz+1sa32rNfc
K50F9yrDmIa7b+7yMqi2auDaDy2j/iWQ2ZGgTPNBy8jNKFMCwP0CQWReRT9GfNw/etv/fjBdydW+
vEN6IVFEa1aNnmY/WsNSVpofmId4NPTHMsqfw7q+JuRqP8UBmVcG3bEHSjXZVqttjMTdlDRdhnMz
8kBQa3GG12weVZHjaoUB75lMofqNrZrl0Bckpqy3ik1JAy5kjiSyGxGPdwxTgkhdpdWZck1jrdJX
2BP0lb2xkSSsscw+OngwmzpNNWrDIv3w8LNX7fje5acIWyOR2bw1VPZqsgoUMPN+RnOzgA64cjKq
aoNTeM9CtheiForPyAYgInDR43KgvtBpza3B5LkAgj7u7LEa7iEp1vc2RylP8gxrzT/X1Di+AYps
TqOXss1NfXMv9SG9e+54j4rWPc5nfpmld7cqf6Ws7hEf8IL5Og5r1jemYu/mU9Uo27PM/V0LCY7l
s2esqsIdrjHEn2sW5RwkOwn0ncl2Pp2fmF/SaNmzpXlEdqDbtqng8OJJnENvzDx/X0soM59DtKzz
DyQTrj/y6QmGpWYd50NiyUwutBHr5nyeW0O6tbvsefxzCQsHyHvkIuDyLT1YW6IVJ7Bk4qTHqThZ
NQGhvm14Gy0lvo7MLC4qls6bD00AlVfdaCzXEWNgfreVjdBqggin7wXGou4Qp9Ez0byIBKqOrWNE
8WLT9ixabJ1liAoShT021RuStX02M0XAau3PeZ4N/zwzX6t792Y6VrzMR22pVMUPpvghWhds2TZV
QfU+7Wr4oqoF5yseLX+FXZTAv+kii7rx2iVSrMrIMlYKgiLN6dyn+dB7v2ViYYOdruiBfidP2r/O
Z+5IgHdXh1g0Wtd9yvqgWNWl4iMO57TqiEiMNPKBGxS0S1Hk6raxEnk1W3oq0teOY+iUV6NvpUW7
zQhPRmhsv0/nZxwojxg+CvIuwvPfaAba8+51BBNEtVMfV3+fMBTK/hhMuU90/zInyswHTVjPU2z4
WfZxeini+qmi+kBXtI6OzdR46yS9sTgwnofOxMKZ8TbP180ik+xLMWzOp9RKv2qDyndpCXphQB8y
ivTvFmHd6xqK2m4+pda+woRkLPF++mtbT+KTnlDGzUpXPbWFHpztyA/P86Peyoptalk/50t4qU++
H6oXNlhE1LfZFR+U96ThmnpUwptf2cmFxJNnxF2EHTbily+N+jEWS6pFYtfoUYdXPCfCLEj1UxrQ
oCus0dzaEHm+LZtmPOIzbfAOSin40Gw12FnEqNAR3DUMIy9eaWY3ZaQNMJ1Zlk3xXtf3rVOXu8pX
v2xU8tq2K2iqE1NNw1Y4oUlmn1pe6kRL1sPgUN/EOMJ9Lk6N1bKdcaebRZvui/mipvpyG8bqpz69
ZL40zvfH97N/Xke5GgtEsXGIJ2TTFmTfaY29LD1SATCAJlqV3aq6SS+gVBYO7z/kBdMPgPOgVKhz
0zp1SmCf5kfNn0cmmcUHAdTQ79LkmPo9cQ09coQjXjD8kCnbhggHBKUTW5TLf03T/4hz/60m17RJ
a/svObmhqzb2OiF01+WBqv8nLW7qGZrl2465NUMUIGMuW/4aUxV8MXL3pI+I0VRi4e0of20byzj3
fw40AeAZ6eWTWrs3mWb2sZgONA7MRZ6ldHTkZSTq+5nk3v7sKPqvNi+melZ3lbHRXTtZ8Yjc36Uw
IU1+n05POEaz7dRoaqtJVawocBPqpa0Gs5GPakfbLq/L59BK5XPA7BS53tN8xaRJ0GAcfZifIiz3
6CpZd5ufIyn61Qhs2ga6Z69VXzXudWJFt9QpALh0LjZdH1Eqksq7GkfeznOUcpPkBDYxSiKb0trA
YiJM46PuuRSep0d97olV0xT0g9ka3UgBtkioNKKvwKCOJI32rTebYCNT+VEgn1mWUaTdK4VmQBwL
qF0UnygGOta7Zxdbsw79jd8YFX0utP0t4UcriXnrKw8r6DhD8eh7iclcr5FJBM4PpIW4yGCI7rGe
RvdMukRcjuHp7yW8sgCpDf8e9ql2i3TZrlUVFSLp0I91Ti821pp/DoYbdetgaK6SriHkH894sCEJ
rtzR9e4Nk9iqQXuwMvQAYatweddtn5H0//BV1MWkMf/3l9EUNq4Ex7RMFoS2pk/y9H97G7Ag1G2A
p2tPi6zezDDW+TDncPw9nWm77oTcna/5M4P2f/k0E36wdwr6zlYnDnIM3QPfC1AH83mV5Z+B9elM
so4gcJaJ3+iHPE30AxoDK8WO5W2S4DmusUMFdfFB1sKsxECPMdGO3aF3x+X8UI/1Z5rJxWYmtHSR
bRzYwHYr083Ym5d7L4bii/MaBBp0lzBKlW2INTFduIJ/IZfFMoqai3RhyJmloNcOtGFwyDFyMwqI
7VS2QTfZG6ALgz69251K25c6lz7EeyntTFsCzHlxUif//g2Eu7ZdFXFq/VwWBMW5ftcflOngqsA1
oAiLSZc4i83dSTk6P5Jkjm4b9tKCD1nRVpSP2oMadc0hmJA186PWar8KmT8FqaSzoca8AyU0FODb
HXnzjWTdqMqD2QFTG8MYQTYkEDkI7/vgTXgjBfrVUo1px1TDfmZGzp+fZk4MMuI8Z5pgN+lOEZ81
StIifs2g4lrZIrM1Eo8aB9UKre9sbaKhO4C+GA65m34YOVjYTI3wiGV5HeKky8iscdF7J/WFUqWg
cIgkGm5nQ7k3dlxnO/9hgW1oy6xIiTglz/RAW2w8WHV5GRIqT44likM4fd6hVomtE6FZpsgNWWTo
FgBkmu+36Z9/iLdpfoTwt/1+FAO02tcGMjmv05JFJVFT+jlxRqkqx01lW3dj0vQmPoLmUQmqw3wQ
alkdmhipzICWcdFZQ7IAKYDcu64Oaeh9MALdZYk5tvDLGlqNtlKC8ihkwzgkiJXsD36YPmAcZOBo
qmDfgu0pM/ijGqOOtBUwdQBngDln9zxK+2Ntap9gEJKFVtHx7s1hUbHSXQY2adCpI4KV3Zz8WK0f
yrgiu8lmgJG0dWFC9XLpx462sUvTXEbhxgz74AV4WrppEwoybL8k9Dgaqwol3hX/B5i0ghsOQXvm
iR+xAuPCsuvHIS96itO+4EeoZ0qdkp891skmAAplj2b3CFkzWPdD+46+xl/rxNIB9KFbKx0Slt0B
TIGH/D7Q2Rihnsk3NWgdraXxUMX43lwWlqgaVchYQlo7p63VTeVSorJYQAFOCI6JSO+oaMOVoXbt
UvF7a2db0dWd0KAgrTyde0Lzsn6LLMjgv+71NfMKyMdgxF6PgJZ+grGKR52/sgnuloRF592SmFYO
Sgtly87h1kcUkYWNc85TbMp9BVCKND2EHhQl3Lm8la2ztD03YalnGkRmV+lagqZdK7pSnDLFv2Ch
pLMhaVEWPm0egt56GHvJiwUQZ21HRbCJlDJcDr1v38MgWXdTn8BOUjrIwn9JzYayb47p0Kn7S1fZ
V+4hicCrRZ3VnlKPEGWncd9VFv6rsC5dmtIkZ8l4kCuhOvnS1rSPVtASrmvwE8Jrl5a0SSyNq2TX
YoJYO03drFy/ZIoKkVwaglEQHmaV0D/MUeroAe5KchHeETJVW+7Pcgm4567nxRNGwmrNh8W+T6TW
NrHbdd/p1bbqIRLg/OdLndpHBCB8rkoUPYwGXznd2EOBDTd+ZWDNHcoTrtYOxQtZVZrRnrygpfkp
JuDqiHYmalC1DAWmjUIa1NNNLLZq+DsamnRF7887hK15GD2abZlqEi2s2ulB5LGKlIAqottd/XhA
9KuM/aJoZAS26FaNGgslVJY7VNI/rYINlCYUg0Rlq6QzFP52zUic+kQ+Q0c7joCL6WpV3roT6jWK
QiiO9At1BTRFEiBWJHv9YGk0LQqtGC5xJKBZKfGlds+9j66bEnr46GS9tzWzxNoJBZNNC0xvIWR9
i0xhrux0XFJucQ9aCPEoAHDGOsk7J/C4Fsy8zaUspXIdraFYRMio83I4QOuA8KAUH2Dz9IUQvrx1
3XOOw2VZICre0sTV1qQ+dkvq6lOYLJAaB4crJKGvfqhL7LsVitQhvkSJVe6G/hpHCqumGjWYtJzo
aCcqxO7g7LggQzMPRGFbiCsVeIYnWeN6p2K9MHxKx5EXO2e66Iz646TS7UxtneS+vehaJIa+mwI/
awyQ64bFspi+uEXc80NI13SppTlMQ6oJTNwWomqnRFoCboCaOZHzWbpy0gaIYcLOXGcXyC8VXYIW
NUQKdlbxPTaaemXwdvM9SSlmLdCI+/CKwIQ0I6p9wZ+f22gvRLBkXzIirRlJVBdmdNDMdjUW7ssQ
60zRKl0vfyw2na196OFo0F5DYw9qKieEN0yueS+j5WhgwyCxkP+PJE8js6YCdQDy1+ziZWe1w3Lo
nP7QsYLT/UZuUqbna+pmNAMs0hmZBIKb7+fPwGNObQbTBLfuZXT7YaeMF1cruo0nWvduWu02GZh/
yhRZG5JfUFNlmF4HZTAWbt9Mf09CVb60h41U88ekQmQvjLLByNz8iDOaoeg3aQinrkbjCml7DKJ0
aQA8Q69NY0QznBjDkUphPkQsLYuQiMDOBNcpnqFQKk8QqG5x0R71IrHPSV+3G12NrBVNk+6isawU
QB6OwXTW1GF3sVOju5CrbR3sYjx0MRkPImQJ3jJCLJPuDZG8glGAJmIYjPolVXyFhpFKDP10yqCN
eyWqblZeISalY/nmT/r2uiirN4zBtI+NpnnrK35L12ahnvtmuxgY7N985uxFjVr8jZoA8lPRqG9a
NjQLKza1N3eMm0WftcZb1diTSUG13sw0rZGpSudNi2mmWBgf31h+VGDBPBqttdbvHXTo2GVF/pYB
aoPvW2uvFLbg7Rhm8NqG6BfZUbQvaG8Tklw78SxDJVzG6g6cavlsZ2G/hHJpPdG7AKSHnv4pTBmV
ic3Vlo7rZbueiJlV0tnWgw/nka0SagNfO+uo49aabJ2bpQ30gaSjX127K1EXu+NF4vchA1gOZzcK
EVQmgHZzZxIO5914bIEB7mun0g4NBu2DUrTWXrR+dCTi19spQxKcajtCodVBKgcukq7T1GaTYzn7
XhbOSjNMfiWVYbHLgBHWoYq3JGzuyaBuc79Kb6hD5K6GyUTxx7QQVmVPMobpGY3Fa+6HEqEpMTZI
HgDLmeDskHjg4Z90HF8t4ra2lr8zfH9eSgCFqpOryvqh1+101Zehfejb5NgE3OAj7I7vQxsrh4zf
ZYFo0dkIumUXk8XWUgsQHXnTqWU0rLMDIhaX0myZwgUIe9/Vm62TmfKis6BYUn2c4K/mzbhaUWtc
vg+PolfGgyujS1gNw70coQ3amTVsGQq/9IaI0BBl/t2x2/5egZFuUZWc5rP5OnzRTe0Y8khg7gay
0HvEBuxWtfZDDRzoMUwz7RiHWG9Sbxg/utS6s0i2Hll5d8eYyjlwjFeT5fJbFEY6cJ+Bb55THgOB
wDFhQjyRPvuRNnm+01oNNZCZg1gJ1Ege/MZOiJxF+ah5Vcesx2HI4n8exQ05Lk0Vr3Bsj8fAMzfq
qPs7asf5QW9q3vnCQ1SREF4RBXp9wGtcH1ot/ufR32vzE+gX4hV3HcTl1GYxaytOdfD7oMPQU3xa
ibAOFWDZ70Nq4usS4XhOVP0GocXwEMIZzbs7QpjxAFdYyBGOaP3fMNVQFDbzaw9qFHsR6kssKfWq
JJgNmAOWTDW07xpitWWOuMDsZbVPEYOfOz3dKt1AAkSE6AKX6sFOm+gBZOxDTC3zxF6939Io75YJ
UqOlAsZsFQ8ZtXJEhiXD/aZGmllZ3krU7V7Y8XtB3QDsNhiU5tfYOHjdRPgzjsx3oSLLdr1Xondv
iURLlgTqzo3cSR4urkSSsceQIE6bdyAb+2Jguxq1Ub3Q3Tc0X198paHWk5VN7cDFuZDutVG5pVqx
z7WCeHlLfbAbtTkgwUG2iBUuHh3g8WaxEEmjw1OwPmMrVqCX9QjiWNOHPfigzrIQv5mgH4rqMWu6
CvMQ6sZRpTiIyaowqksXOr+z6ET32F8yEWqrtM23bte9sgVNdpDT1kJRXqqmwsEWIf0wsqJkKRK+
Cr0Ae2GNWxnar42uWOs0YXp2c3dT8B1eRI6+6NJMXw5gdQGtEIbSI1evS1B9Sl1NnZL8EfGPuHcA
EKujV7UCZLQKTdTcFDUeEDwZ4Dtq/0tkw3tU1euagRN5WYN45ZiWcbcgrzNbDJqGvhd01hI2A132
rsCrFcOY9AJ50AkUb2Kps08FuiLGdkcogb9UrbLaAFhMKFvLE8QKfGWALCvopFtugAOxu+6R+op7
xAMLlc5BDxJ3LuIBzSv9A6FFr5hg60OVHf28sm9hpgYHlvgQsYZbhZLpwvKFfwDvgqcgq4j4PR5U
wJlh7qG0yGJjOzqu+oL0kIAPFp7soj5th5xB5pRXyHvarjdaKlQNFQqL9KJcaPq+1h+R+KpXbHNN
53yY6EI2racgJMOWdqeydgZZsu9ZQzNzpMpBtSGFTcm2rw6VSk8E1U+7C8aFaMQhk+21RaO0La2i
u5dp7Gy7ENHlgvpIeMr+HDxP9gdsn8vKi1SAtuZJ94NxAlwdB513UtEzA/dz678yeJ4HWzn6mIDe
Y8pJCZ6L30o03roqjR6Z7H2qpdoVYon/SjOuOdYii1EXXBrfNZfSGrTdnAs+IAdYhSY4T6glLcE9
lvoOWkiMhv8OG6/es6pF8gl37F36/lPKR7IgW0OiAqlUgHQ1OgUWdIW/Th18BzAZPxDR6YeEreVt
PvgSL3HLpoHaP0utSpXldk5OrgwtYrztv3OUiRT95YWx2BaBH11MvvBzEVstxuzYjXg0R/9rPvm+
XNKYMZyoY9urP+LZgL2GFwv/mNEUx8jEkzwm0oDDHOpnzTsX/bRHCMPmSgmGFoWhw6ouyWP3yNUi
misiSWto91lKLCIbsrJf5hoW5QR4HCh2f9w6NjoJ5Mjpk5Hat9IgaUI07WMpRYMp0M/xDyTJk1aD
EgcLEta8HfRpehT/j36af/lV259iqqSPBFFom8x0LdRA6gPknORUJEJ/wKy1Ajrh4BCKBfVMga9c
M++J4fe7AVnlElJzis4zQheME6a8OaHHrc7btpeTK38+RKDh91irKCX8uUatrdkCP6oXLnDJveqo
m8KPRU54pJKtmkRDdqj47cZD1Yds1W1fs5ZKWNIPwXkISxAo0kJMSsshz5UX3H7WmY0zSzBku299
7CCeyYpmC0iQDAL6wgsoXNWtqhI+yS7CXldaD5P6xs7j5ySV7SbtDePAnrRa5XFaLp3KuSteUr/Z
5QsEHoemr54AtMvZ5PuxgZyrR5T2/Wj882h+1mreUC1mD5nRhFs7Uptt74jwoxvfiiEc3tJqLLc5
2F2fzJYdv73HonjCGtDKcOhyvNd8KDSajMdWKYATqgn2qdYo34sc+VxCCvlGsZtwH+Z5tlVifJGA
V5MLhTaqROVgTdrDNtkjSH2cn/i+NL2kxEl+oYf9M0NUq7G/PFCAiB+kadPB6k3zswnix8Hx6+e0
Rg+cGn26b/saJ7GhkLfqOQnocbf4VYrQYJEQt/Dt2VeXVj+c+PfNtQVS5smGLbCI4Q38Ujyqpnr5
y47WGpghCMZBfQxzJ39JVKbttpQ2JitOub2vdLHbG/id/MWbIkTrpH50Ct17Zqs4v0ZW0DFzeMAx
8An2R+M9mPozJmPKziprYvoGPWW6pD8zP5E77c0qzPw4X5qf/Pva71e4pcXO1qQEpGTK0ijQEs+d
Vl+jeSTLut/BWbrNfdf5emDPLdaptfT90Ko96rROeZifVsokXooozFd2mUcZ4meLTAdafcj4podj
oCeocU026/RpklWOn+OAZoHGnWckk5ATupJnAaWvk5xUiiY/zo/+HqQtA2ywnYZptbNjSiF6fWGF
17CqRWzs9LhVPI3iMLmn3TodCR3THL06GtNBGHVFIeqFtZFyLLzRP/89RGWK6SlyiIPoWFTPBy+R
Oo616ZyEMG0TB+6zyEbZnKKpifWv1xiwSZd1MWRrapHqOWdFhVshvOfTODXiprinpzBwxO3vVbTA
O9sPqzPy+eD7hWXd/dSSotkzUAzNqjB1sba8OrqpHirVIk4IlA7143xpPvjsDXdqV7E1d5MGMtL0
ujSDcDXOEenTz36/UGH0VXvj+v26+Vris4QaSwaXv/9gr6T5xW/cRWw7bwZNlLPluuKpbZ0nnIft
BThKcQ+kh75aV3eFrL8CRHli63vyx6iO6AtGrH8Fkki0p32zqNhQ3MsBY3Ehy2uatS2u8/9+Oj+Z
WdX3K0bFCleui3SymQBfrWFA+ZoOiZf/qjOr32md9Qt9prOffzCtiB2JRcZ6yYExHcQq+n1PHe9p
jQI0D7TJbFWp9/maZqk+lTqcKy0s6zvU6nw1asRbFqMdHC0iy2s0yHXkUIzs3fJJNql+UDAVsLLu
6f2FUtwHX0VkzpNB2l0URlCAbAHhagX4l9zbYRAvvKWr1vdYacKNBndtr5PzPAGG7YeRoHrmRXMK
WTX983woVefWupV+jh3vcaQudDGlrjx12uRXy9ScPWjkI8ptotUIOHI3P6uwWdkkQynWjtRJIVBy
b50LKW9OYLu0vfJqO58qni5vba9G2zZGeMCymR6dlxxwPg63MNUn4X0QP9S+/1qZVgNHNCSqnA7q
fT6MA+oOP426XQGR8Di09Qc18fhuW3G/SEe+dkScDAg126xFT+vg55ieNlqF17iNunIaZvKoJp+k
83OIcn5/68vIf9IaiuBl5VVEYTRttDaCdGKeZ6hjqJu1tVG9GbjXN7rmKOzJtPrJz+VLE+tsnYBq
Lyw55PcapfIxx+XFeNuY675PLYjqv/GfJe/A0HXqzwaWE9f3P5RxD2Tf/fAEvJ7O9rSdQe2JYqyX
rANLea4Np/5VJu3GDlT/B+Z5nRG78m8mbZa9Hwp/h/7fvNeK5S+d0s2/NDVbzD9EISJYZK4TPwdF
zmSbeOpR5Y47W9lcGfNpkBhi0vmO1AlZ5K6G0LMYfJJ4zQfobV2ns15GUxyZ/qHNJeUxen2fNkvZ
ICl/ZsawMakC/la89iDzzvqphcOVKbP+8qLnWrSHbFooNby/K5bew7Gj5fg40n5N3Bi+WZt+Zp5W
MkXTjmUzzGZ3WAV5UI4EQMr3HP3tbv6z8qoq/vd/Vm3j5BrHnLHF8i9N6evHFiBmQr+Q5i5/QJQi
qglHbsMxHX847uPQP+qu5r06RFZ8kEwNOslTgMgHUrvUiqJR9toHzYi6oIzufe8F3ATasm2j5OrZ
ZnxlyngpssTlHVAJAiUXYgMvNn7OzPzTadL8J0anY9In1LxqvVzbVvrcUTfZdsyfJ1Jv+3UqnexF
0Ysf84dlqtzwAGM/2dRia4818yYTA8ecF/a7gBv5OjoAKVyhg4McnXcFbypfS3PcSVEdiRQwLlmA
xza26hDRicn2BKNE40FWaKiOvwnSg0qhKx9Iy/u14bMR06sK4wrScthO9PtFbI5UaKyDnoByTPXk
Ot/Po6ZgnqSBHRmF8tTUzs+Wygvmqm5vV250nw9RCVyIKFO5ZzrnBpueyNsoWw4B3nq1Tftt0IoS
ujDtYnROQXospWpu6J56Nz1k/4864nVUNlHrGjeR/WxQjl9LtVa8hVpGeIxYvO9c1RWbxjKTNdmk
AoOaScRt5Is7yg64UHVsfHrh8FCXBolgJYxKzYk+olYff5QBaoiiNMnWSu1HJ2m9QxOZ3qHMUyi6
0+l8SOnMSdf3NkoiHLIUFHGFbe6v+5xEEUru3VLvhnCr0H05J9HAtqooTrGFZXmp0HS4p3atg5ig
EpsWgrSWSZE4axNzhXeZouF8Ml9mLGblIbxXL0jtheLmQJAja6otRt4KN3a4zcJ02Ri591o61gYh
ivGL1vFDb4fhWxyVdJ0Lgp4qQP2HRmbRVnOprkdld8oDo9h3YQqeKQ+j69jB57JhPFxsUjOWdUJs
lR8ON48G0UPYZ+JIJsTrfCa63lv2UW3Qf7Kxa8g8ew5jWa8M2zNuaeER4FlQEReDau+csmmeGLRe
I2Sd+7IIsScGKWbE6SBVo1hnOktwjXGFVpH1ZVp2fKCSHzxmzg7+l/VoeiVsKxOcg8iD6JwrZnxw
sVKzL4yT0l3QRCMaeRLBhFO0ypyvEtjIDTrV/Aoq5zM1zeGt1CFSGYUNsKKPHwM76oFgsi0jaQws
QKKsJyxokA3pFylH+Kj8Vn9AU0diQjmoh1Ez9DO7VYAYQONfQH/80ExF+WWUAEgr1/pqPYrrDcqC
x8jrrI2npv4xQqN3DgdqBFnFPawr9U+6lP7vvHypifv9qeRIXJzE1B4BZZN7YpryGOse2+UkQV+Z
xspRTdB6DGM7vFqDcu0qp/tJ7fjRyjP3palV8J0Zo9Ew4ng3chJ97cC0aKqU2c3LtOwm1OGdVnB8
mC9hud1qvTeAUKujRa6ql8B5kEZYPjvyidjBCKmYajz0tbKyEe4Au26e6lHJp7t5UWFzebFKmmfI
j24tDV6fj+tVQYCwKWkR7apBAXTRgxArMRI2SI1eVBlpJy3lq2BTKISoYjnL3oPfrdUDfpAv8FFU
UzpVP4056HJ2Cr99eDh5kaeMtUwgZmmrNy1Ssl2UdaS/IafAycxiJsBOXHUFuSRBoe7hAI1LxEf6
v06LviQ2Rm8+8nA8sKkgLVnXD0iHMQCWHb1oJCNj89jk9XjWsIU+lTDXKIMzkvhCeYZrf2XB33yo
sU2FKeybR1rZ6hqFU22yg+riGPUHnIgLidD/PGpL5VZhfKUkPSpnZphHuADVq9JTBFR6I1jNp4XV
sOyk4bmbTzUx/LZgE2GPcCu+hJKpwoEmnDf2Je+S6Ikq1hSqxXqonE4tJSOg1MnvXpY9YjZPv2DF
7CWNwzfLDdKNW72heFPqvRFQWHL0pe8UzmFsQESkitM+s7VHMRAqDjaWtn0eMeAviIe2VpZBYZYC
CJiL3PptudolkaX9Ttu6X7J067YDGHRI+y1dQyVQjjI2f7M3lBv6at7RGeO9otO9NxPqFVoYmbcM
ecFVrx7ktHams1DdoVMjpmVcztraWjt6rtxxsny5DbTeSBblUhBexpDMYX401qoLdoWxN3fEFmhU
exwVil8WDqTVOA0g8yEek480iSH9j6hjhSej43xIBauPwYXSvhuihjjTkPSGiDUwMg3h3CLRaKfA
K4+FbI2dIQP7bKR0IQ3JfiwxXR+0XxacffiXC5zK1G2l026jvDYXXm95ch3V+UMVDJjuPRg2fS9i
hlYVXF1voOEQA52FLCGltUcJp9ShfHRKs4d9bwAF8z3jlJf4kBWfunNDm3hlDGqAriswt5mh5i+Y
53eqZeq7bHQZ9Cfyj0N+EvKBP+eKH/0OKu4h0Hr+Mip8/ysMcIlPcD6qOT/c0KxeENGUa2jJ3onV
GKrSnpphlvTGpUWUvgyiMf0K3M/S6ULYyaFD2L2wzyg84HvZ+fhs97uRsPLTfKBBRG4BPkQ/ICag
qFuUPBVholbWn0QdMnGFbrqgi0Ydx2YmRtzx6WJ8vTiEZN71VvfXWpckFKup+veZLRE428MUOxx8
Orr6YmZl+pR0/42wM1uOU9u27RcRQV28ZkLWSklWYckvhGzZMKlhAhP4+ttI+xztOLEj7sMiIJWW
tJQwizF6b90SEePkUdV+/JgqngjGMHfLWkPc03SfManP+oUn9IfdWgQ8e+Sk63W6YR9xwk4/PENo
G/l/tAkEnPVXAs6te80vX4HIJc+BcLaNg5HPn0iJY3Guv059TnG8q4Gndf6b6VvxHvdo83A7FIrl
bOEVl6+XEtgyO1NCl8ACWAb0VHmzk6AIO1ajXXYbQEGECjIVH4K+N/AYJgLMhCc/hhIjfnpXLGTU
EkGls5MPAPAERLycNReJkk7P4Fa7HPQ0uQoYS7crSPD+OSWmKxxg/qIkZ0zq0actXldfScKNEm0x
zjDAE9TimfWpJxkCNA2G9+jHimJ3Q4VhAhUh1t2Zz+DCApAmXGAU7rMnxyFsWaD3GzRY+X6U7iFb
1PxDBfb0ZHfLC0vCQVWfstP5ixlh1g/0GpN03nSGL74xLGbfkBxMoWVBbvz7bCh3/EiqEsNXGev7
fmpoZXbTsz0X3oWm1vfAdOvv0tcvtd4377nYaQqTP3iX94Ha3x+RNS9Z43C1GPR17elFa9KAXW7f
3ZVG9u/gdQgixlZ3jxRJ2BIq6mtrqzW0U4rOmWsO59uBEs+/s3qe0JD2muGG/kLnXmvL+tJ6Ptzl
lCyzIUvAX9mCekrdKuJrvUi3EePN3iAQz/KF21lQq05tvEXaF6a6WAn2SnCcD42R3AtztM4slsG/
0AOzzrfrQdcfpFZbB6fEsZBXyb9Dj9mb7mSCCn217H594XZ2ey2wCozfrpRbcwAduTbwq3XdT5qX
a1Xn26H/37P/eI2wPKIevH0+r5Zpe6jOJWXkc5yxh/J1uniQ4+IaNwVfaYD8nG9nf1+EvYqzOTHK
I9Kfg0KQ9zGVGtUwkqMvfKxvZT06l9HJu9OiAxfIwIg9pushF7MWtSBHwttr/uj8qmbCpTwMMJfb
oVDe2ZgJcdel/++lry9iXvg+F5aHOiOpv5Uq28+p41xvV4Fio8BiLAh9QIzGVvjVU9LP1g6cQXoe
iUYMkzSXNG2m9CwdlH+dGE6kTaidEeS0edaACt4ZLxxuZ5rZYfRGLjPsyrT0kQcZp8no9NcYscJ+
oGKxzUZJkGsq0wdKVM9a2ReX3kmnb63DMl7pgrVDdYdnO6DlFasQaQ+LJ/g/O8Se8O6oOm40g3aF
DhWVKBQhIiEWcTVqazh3Nh7j9WpsAnFFGCOuulE8LgI9zqLs7qK1qIWUbhy/tO1Vg6djWHLvik0j
I9FUtVQMC3sLgHc8ur1s91Zh/Zxl3J3cdZPaWEDWZoB+PDyJcaVN6B0yvS/3tbvYFyfp0AKiAnr2
5pHZEYz+uV6Xy/DYP2k6lg/coZtRJni1E6fY9MbMYNPpGQ/RSmLlrv2YGk2EvRwBG5Be8+6US7tZ
VjiPFkMe0GsvsmiWv7Qq/9S9SUW166N/Wv/17VsYpUev8HZKbA4WYY3SZlec/74eTDF8Gd01Q1ef
tUOViBe/Tz0DUKstrg2xnH0sg1dEUD5z7zKzGcxJyewqahZtDF/UGhGPOWl80sWs/p3ernukaDgf
mLlvl7e3696IAMLKJvYuCYI5h0dA31hlc2900jgiKU0xpY8sWun5Ek+qE/2MHpwPfz3Qg4lPU/vm
zvkO/qsGRPO9DFb8Sze1T5nLp4SKPIWYB6upl3p6dSurQDrYrkyLojzfDnUmfDwI9nTU4xjH8qST
QbTMposWL2uJHW29SMSFCDvaSAgKZfKIXgyGD/mS0qDNbCbJ4zRMd2hr5eV2VUMtAkesG6eRMc8B
R/FYa2p6AngAm0Wae+rdCzeJaV/wctuXjAUeCpv1VMBiHrEpG/exsOcDuAf7MiGq28QFTu1M9AFc
ubqtzvPaR0M00YewkTzi+PQ5nFHwvFZB9ztPpfstIAcB3YFGmkjK4BrMdn6Zy2RGdiKfa9Yx3zTT
TJ6a6cRzX+E35tlxnC7ZGzkiDWZ3cFA1kt99XFkXcy1Bmmn8OE4l6Li1FtlQhnSHQlx8n24Cj/De
skzvJZglbVlNt461O5SPmdAeKBslrx3NcohIk7NJrML42WF9gyYcn2/LWcuXfxoIEEfRYwzzC+DX
6+gWBwaJ5OPCyoZO0oHBodvmEhODbdR3iBCGrUFMKTFw2iGwaDHFnY1cpx3+5+BhSCHpcNrcXtPd
pmWZPl+SsQF/PQGcmHpKjmkH8DOzrcbcgNAg3SlI2VpVmrOXXhKczLwct5Xw80ezQDY5V752h5Hg
34HOzt5P4PTp6O7Zkdflg4Z9gKU8NgTHcp46z2i+DcMfR81RgnnF8QJmTU8jJ5Ep+Ho7mIH3HZmP
pE1IctlMqxZXWxs5kxYfjAbprtZMxrUe8wh4avXS1K0X8uyPW+p0waYZE+M9HdGgmtBmWEs1HwBS
YWU4rWvgYfQhkEzxs19qijShRjE1Wg48PENFg6H/Nim4PQf+9LsNvPgyiVTbl6m/RE6Q7/ums99I
cEjDwSIwQdfJB0618Xo7U3jce5sGQYYO2Rxm62HUi/4bMI1XcDXlxUgNgl6CjmHEdgmhDoZPLF8/
BaWrty5N/20QDL9LN40+KHZZo3gzBySMqh3OdgyBZbQo1+mjZZwBBdxjcAoAKAA7pTX0llnoVwW6
itAvgCXFvrazHY02Ps2/Mx8GDKv8juCL/i7OcB2BhDt6PnYrUCiwR1qEHRUj9tVjbt/Dh3A2RabH
14zvwJOQPOsIZJ5VUd/NKtI+m4zEuMLK5LG2M3bvg1Xsnb4yQuog3TO6sBS4BjKAxZ63TVIGOHos
1CN1op/eACiI1xbG9xNbBuBd444PAKyVH2Q7g9zhNFjkvVmO4JCNYrrI8o9NoDZ2ztb4tvzyCSu/
CBut/BR73DnGO0xQjf6j45y92ieqV/g2e2jkD32aip3bzPN1RjSw15xiRMzR0pkR8UGQVxEWAarc
0tIISFHGvwOWvX1QSVwDzVo6Hgzrl+GlXRkCg2+j1Pd19CJefe2MsHOKn0X1y10Zjbug4jdoA0UY
o/ZottgcBjRkZyoe8Ys3sTgQSffeIhtm7TuCMu/ybzm6T4jV8IqEPolN3ov0gH1vuuuM1oSLENeU
zrnbcw1kJUvJQ56q+accMBo1dCGoPzUj4FTiZm+HtJ/y0yiIozHlhFkqI1AGPMRuWS8HFoX37mhN
91kzyM04pBAW4tHBpJF8t5ImoHgBzCTvXwfdyr+xezwYbRXvqrptI8QCLdoIPMPoy24XQrbkolZU
3X0IY/tldtjWDWwhpBEvp6kAOJaj5pPiORHKvyhHt5ewbI3f7phDVO3a+cGmDAAqz73DFDc/DKWG
UmI9sAG/B7ion11lzA/UYsuoKRAkavV8GWZVPPgdD33rz7/03l9oa7vli0hJbeuGEUI7qRnYBBJ9
Bz3rrR3oVWkLeqwWMOhGNL22M6ee/z3L6TYpi1FIp8Hrrazw9zWHBgRuLe++kFZ+vSk3yd4hMLwY
PUh+t8Lw0jJZqvmXSfT6gcGkuNPhKVnF3AAAhRXDMIymsZtJtrsNz6lLZ0izcjO8lQgpxT8sRjod
7LTHWbsY7WMyZRkdfHRoSs7Gqyrbh3nlalVt90lDCLG80n6QBnbUBvkZ977PTsB4swQNpAKAH0E4
JJK7INw2yVXv7Z8qAFVnLwEG2cyMCkEff1PpjRklSf5xk+3ZhvFPtueuZ1+Xt7Ov12SjLo5q0z3Y
9+ZUzQCDZwoeSPnn0+0g4Wr8Pbtdzmmhk28dQJJqzPHsI+IfcPkhMiDImLRKdqIZf4YFyqKfX+N6
CA6a4y4HfZLhLImhyJycAyvlgjw+ToXn/M/p3y8l5r83tb2V8Kb12vAtSke3U8xrYgvwBVrwini/
Hb5w7vVKsvi6vH019oX3jxn/Fx+vQVP8+w8TKLUR++PX27/zV+PT7ayZrSIKpgnk50TRAG2ulW/j
9YfeQPhf+Psb2/52KIJQD+D4IoyqzWjhg8S4w6GlzLsfWbDF2mSUh3j9GWm2/gKr4coh1meJ0uap
gh17nMWARMDUH82ErEGj0BtsVBzMqWtOXSfxtN9O1QII++/p7fp2gJP1751GLtITyFQDaxHZau3z
dPtF9NVW/PcX8waAdIlh/fsdby/WbYkA839fmzoC0IN8dELTG/k9Rm6PW87A1+XtTFoZvwtLWyIJ
bqf/5+t5TUmY4MlsOzQLa3x2HsPp66BBTopaV/6+ffjgXCrgOd1AzGFrABauAHnf/lC3v9vX4YbN
/7r8b2/5j4SD2xtv74Ggjrdt/Qz+frnL0QPbI1P/mHCbJQn34u00X7n8xHDWp9vl1+H2WkzJBNPf
f3nP7cttmjA0jsva+u8JXrG+ezgNI34ETrhOa//j8PUaE/yr5RM85+JZOZlyyI6SmUCsn8jtsLRJ
//fsv72GlvGKTNDdOSRz61utRdRLL7E7OR0OOr1ID7fH7+tQCIIo/j6Dtwfr9pUiBd0+Vn69vd3U
txvdL8m72Hxd61ZgHtvhIG4hCHKNJfjKOfASjdre7frvi527Jll2T3OncOy7xJ0gF/46GGt0xdfl
7YyY+v/fW/7bP7u9VqzDxdf3+2/vw19Cy8BGznN71m8PI9WJaYnyuuCX1weXZpZT7af185KG6k63
s6/D/3ltkOxYXG8w2JwYv2ymTbqCt/FTnMshL+lcMtDd7u02g/hZE2mL1kDBFa/ktVvvvNt9+XW4
3d632+v22u3ydvZ/XusyynRuR9cLc3YMAR2aLUZYwIrsalGz38aEryHkdjZ0xXvQplOk6auvJP8d
9C67VALqNng4P6xSvqVVuy0qP0XpQ+fHIjLA9mYV9nMTH7LO/Jxm097S4TnmQwNumbiKECVGqAAz
31Fg+4mokQW7jqdKaQDsen5WErgPQ1BY8A2Ty1yBWHSz8qq6ej7IbqOm1I4alLhRweBFTbsr97lV
HpepvswzZcdiEj9aiQIuCVIfWwS6YoeeCyKZcVeveyHXRv2KHOgjWzC/jgMwjMWxWaRZK8E/YXmB
5TIKAkiUtiQUISjPg2svF1SjPzG3W5sytu2oS8SjLYbxGRbW4xKIO6ThtFmArgyaIkm3x+gxldV1
SopPr+0QoVbaRZGDF5kNLEs432Fv6d8ShvptGxjzFhjVXeOxyy8XNYXNkIdBVzenJkMIOyBgmSWw
eK/XNxUhhicLV45euPKi7OJ71rDSsHwY+C0NY5qGQHbva6QWoQmA2oLLpihC75GrrrJKqz2TbEzY
vHUuXSKA9YU99N2i4LilOK03Gk22VoAwqS1uDtcZo07xabD/IL57eEcw6z9LgPZhbE7czE0gKXgU
Of14b4h0wxGRDQ5nIzR6IzJzD/3UflvMFITkTEmELWAau8FrQlY4OT1EOahji12iz1ziJizxI27n
OQyqo61BGGXCp0hnFtsOrgg0jJWfooFm6JcWVqAc03NV6yAaJaROzbT6Q5VXL6ghqSaYuG8oIO0s
b7Q2tJgjzTDj70YXgr/cw/WAdDKw6xyDYS/93gFcbxk0AFCI6XlbhM6ozRchmgef2nHraHnYFg3D
o2uLp7ws7rRyKg71vBVeB43MHfXLUOWvbl0nKEjTTeGPPcSaGaV2Jh58zXnsxEitKyb0AWkDYNfl
ziehYeNatXlphGZc7La8d+h+7KfVysvHYm6VROibVSPGA6c7GthqzoAMIyaG5YQ5T97VprXvupNw
NhgpgaEts3tq/QRgPLje7SBqk5aZd/G5yzZqRBHe+eojsSsRJcHINhxn+zDlj8aQdAjkqbI6mnwy
QZYCXtwnrUbx3smPBbpYihNzVFukVxPLwlJ1QLsxsgsJnUyde5ecA9vNz4PounPXGB+6jRnAbAga
4GnJtpkz0IqNYzvs8DxsbWxLW826D8yyPaQOjgog+K4zI6tuK+pXs3UwrC7UFQpkLN1Aiouc3IKE
v2SGiy4tPqa5gDcdZBNrDpK1ho5kVtfnOwd6RnCDB3yuCuxQAtItM+uivGRPczqK/SSI0gIksP17
COSLlG68m5LyWskh3SxVS2KMAYGzBhjIAENG8ZQRgjWW+qMmIQw1jh3aZD93FGIZlkwyb6wF56Cq
f8YFbUtuFIzFcy6jKcjIfB10Z7/48Dh8dhlR28Znw8jLyBzL31bl79pSAMYJ3sxYTQd3VXq4T5I6
+AHfVeh0bCfm9MUjtoOiCwakZi6a+0T1E1Yk8HqpzH6Sg8PHMqxxyFb71mIN2tsK0eTgfaZZ81CM
yryPF+9DzM479yRE6ZJ0iYxuVQ7V9zDUj6IakzuBS2YV5Q564yPGyppIrq9kYx3mNOTD3mFrPtAj
0QK+AwDQyQwecAO8x0ls7oC/hvrkfRha8iwX4MxUtndBIHbMnwn482XeTuI7mvQ7W1LBkjJF/4YJ
2bDz69LVY1h5MDh917hqUuAS8kvaQKu0m3HbWqARC2m8G+SbsPMqz47mnRo2C9msQeQpaXPJnPEv
beYXN56QLlsBnxh18gy3bZ/j4ykcFqg1+u/tVD+0/nApTPuzY0bceuwWwozEuxj2JQWBHypOv7cA
zsNUc17ITHNJIi2qrZryT005xYnVnL0RRb5s7WYYo9Ges7251Eh9yl2zGNN5cOaSHHXCQyutWO6s
jPvMkecy674NcXMXt259LKcWZ2BQfdptn967jX/syqfS94JDE+jJwWLGxR4Wag7yQtEWbpRmPs5E
KxJSOyrs7ydqgId4+pNQbYB3+SyUPUVLbWC5LWZ335voLGuXOqIQdzTTZlJSUaSwDgv8SNV9tZm8
5EHiyGKa/eXTgLp4OP7q2rrvNbrsCQDWLXvDTwKoA+6LtA0LMG37xOeSuxv0Jd9x6Cd50mTLCsnT
vKMqnmftZ4Vnu1sQwzue9d31e0Wguc+DJfWw1lHEm0O5Wfo/LffUopqKCSJLQ7lDvKi2tOf9TW6M
zn6swpF9bJguHlyA6he5679sQ38d2naXw6w8smyhGOq4gA0QFJ8yb+kx2pfcdZBjq5X1qIPpD5bQ
oZEA3avUIvy7AMxNgwafb71grooUTgkmTezh4CBEJfb1hApa8/J0Z48qixLfQaKckEeUDXVD+hAh
DMqB4zbpuEhM5vmtmWgkspOFp+njW5G53tbq4I7DCe58EACy8d7gqyM/G0hSgIBM0CsAUAP2aVIO
T+BBS9RYW115JN81O9gdQwgVYOR//J0yFBUKO3iBe0o4lJ2+qaLC1S/GeNsQtdEFYZEZ8riAqzhY
iFg3qfKnMCgH/RQXWbyFIhG3bPRooUWViopGf+xcxtmh9+MtzE5WQjlpw026d0bn3GRmH9aZM551
yjHQpFGyNI3JX1QjPphUhze0WvW+JHsj0xhHWm1+XLt/9A9wNzojSlJiO1+6mnGUmvCwlbh6aw9A
mBwPCUi6EwZNzN4OUIhial4oTbJ2brUjiTToyUrs60KaeE0WfN1Z6b2Uuv1n+kNdyQA3qoNmntTn
1I/DRaMlvWlMGK924xwYMXBSaRObfKMdIjqotAQmn1xHK9irWQVI4E4moSQRT+efalIf1ShmsOgE
IxqJcwVdhJkgXS0p/n1sSbQfAy1/bfFfU7SB51rPqINnkjTA3nwgEcZvPEjJZlzhBu+w8y/4r1zX
wj/vGDTuWiacOAkAXHf2hnTrIOmWvRzVi5b7kV0F7W6OT7b2q/KcT4Xel2asBXWhwrtB7VqtIj9r
oukkxLR3DOI8lj7/jn6PiPKACgryT0h7Zf+LUne5cdmEROm3Ko7BXMxGCxn40lDo25LE9uxL81ed
Vr/9PPiNFzuGHyL2M5TdUK92TJYHNRJDZYPjRbZBZhVhrh57GC0iZzPdBEa9JWfis9RjLNPsQM7O
aomsVMXqaw4o+bImLL3uIyGfZkOEWLNpAswypd8E/KmzBlQH1lva5qQdEAle8IfJ0vLOF3EdddOk
tnE5PfcAi3C/fVva4cEPls+JWv+h9d1j4EmA3yN5YlXTLwfSvZ+Gyf/QemVHebq8TfyldoO1YZkl
EEsVtAWLvStg3xTIScKB0Jsh+FMT0hONWoARdLkaRZLuiVFQJw3QdpbaFwP9aogfsNwi8vRc0wyN
pbhr4wJBq28zi2aQhQ2WxEwiF/rVZ3rgL1kRg7BLpvcRC3FIaPJ0zxLvicQvdmpG3+8HI8A/SsDj
3syMcdeqDEJAbxT7npFlKzWaZMoV74kcaJ0JO6pm3wGvDUG5cvjd8ufYrq3QWyHqjS3O9qCfFavl
qC/jT0zFbujmKeSMavIvfgGFvpCCkDqIzOlibytJkE1s1RZuSPu5J6cJorYXxo352iET2AwFhC14
jOBFOkLHYWTzG4FCLuyZ9XnRbh3A/mHes2tTiX5gFTBFQYukcspFtoNUoZ3KnF0FUimaYkUXgEBj
pqbZEfmk0l/W9iBiV/yZBFVf3Poeq/qVHbN89H2kenzPIura4btuEtbVDVhuTcBzB73RHPaRcbwd
/REzW1xlW4fQq3DUkBMrJzh0oxaqQdi7cd2CSRRZR2tgIaTLX1L27Z0qxPvUyh9BI6KUipZZCXeT
DmgM+lVlUtTabzl4yQ7O6C9RFachFDpzDvK5q52SHeUZWkln2nkydBRV7Zj+mmpg2Xg0vaiRD8W6
hPc8tTPJu7AG4ouo1iEvnXN0nCooo6mxrz61+z2S6z1ZQZG5MNKlherOXhY8IGPdEV19P0x2EI6z
qlGjQ8sHvFZvJxI0SEZFkWRfPZnKnT24JIdY8XvdDye/rJ2wsrD6pgZGnrrx31olvy1pz5gNHqJE
KDilJK5MPpS+icyRQBoo81g00iF2T3kLMb7p4EU2DpUoovvuUYHS2W0XwuJ7883isQ6Gt7n3012p
p95Onwmi0ntYPV2hmVtUpUjkaGtX+NiPQeGeKeAC4ivm+h6F9lUWihjdMiDndN3HJsbwlMjujvwY
i1TA3xr8USz800tsueMdCsPz+p87O80TIPyGDeRchGVHUI2vM4H7kypDH/Gs82e2WenyyH2Iakr2
oiS6DFBReay71t8rAvxSGZD/xqBjZmBqPC852kAKvL6a2WGQUMWWOKo152ISTThM3YVn+juK5w4w
SfVe12+N71IwU/J7Uw+/ctXr2IfZ2S9u/vrklc3E1CEQUKgyuTTzB7Rvn6Iu9X1P98pIPLNA55F3
zaOBvB1JCLHD6bERiAgYj99JHCbXzbEPiROYIbuBk9vrj2S7oRSwaTmshrfasYezN7DFwJkSjVgA
DjTi8m2b1o/ge/RwLbftZpV9a8zgiA633nCvLWFMXoWr5GelqDd4tL5DszOfk4FOFEq7iWAoxUNT
9JtsAavqryZwaEJI7/KtnjTASRc64HQaPjoLMnbeE0NRLK9xb5JokgbHqaWHUwio252HWpSKFy4e
HuXEYr9f1u2+6LsX8kOeYCqGgJ+MsF+DPedZ3C8tllpYTSauVfwzYjfVwZvTTtnW7VZujYtO2a+9
34HzkOlLvKf7cir5yOk7Mp+NUpsPfkt6jJn1O7rNNJzYiM0TKZIe+CT0fiRamdyWBy8PXjVQ4BvD
pnMSmAB3MrP2tkHXPmCcEmzlY7rO7RmO5n2KfXEded8IRPjRzu5A2Udm0SAU8jzdtUPWWXnYeejQ
TfIPWM28TaueOJ7ij6yvHmanvM8QYBHGd+iIp9iY+J++Y4276IAuRjeQv8h2/DWiXdkIyegca/YA
OGleI4xAhzk54cq+wl6gJegSbLg0aWc+lab5HJDwuLD62UDaOq0oHECnqr8zkVxsO2/4I2Q8YTKr
ReRW6QsYsfZB0krHInEnA9xSlcX0m2Ss2j10jm3lFwjs1GMM328zE2fIOiwzDnTNsi03FP4mQ8Ys
M1RAbt2SYpkhEbGtqEPoZblTDcE7Njyw2jHokgIDQrRzJ53UP9Cn2dAXozUT4N+lfYYSxX8xNWNm
7yMp3fg68HfYR0baWoflu94MZpRV05tez8U9D+m9O8lfeOblUbLKaxGCMBxXpJXZ37E3Cm/IaVCz
va5rHLtS4u2UjONHtnwMgTFuEkqHlRrJkKsqImaUc5559lmJMRuNhbP1y6IK4Zxph1XXapADlFSu
zseHkHzBplMX9xq0tK1pj8D+JTw+LU1fVcyi1YJ3gVWYCZg9wpOx/MyW4Kns9fngOpXEEuWBqxdW
H4kWc/HUWM2Z6lVBxSR/yrr5mYZ1sulSRf1PoMjIrK1hjNlZU7VO1KfIQx95JHPW8FQjhg77gPRu
UjIpwHSbQjVzSDPyBzUUb4uOmpAaNdE+T4yT22bVQWX1w1Cxp6Sv8i11dkjsgfQPtU8jsyKzSo8P
rRVULGGQx6jCvQiiGgILIEnD5zci9kdPgYzfMqGB6T4t/dlkFG+Ma7fib8BB0aEfl3s52ySLstrf
lr5O4K0LrKFNEXraSbb1XPEJFYfa6FTv2xpfyrz02hk/48WhhGP6JDtpnn6VdvU6JgmsCXf6DFxZ
X0UnX5ZM+0EWgPXI/DEuxfAt49PXEC6cFZ/1KEv/QIbcLlC58+hYNU1hb6ChxGGtBSdEfc9m+6k7
rFSRd0/EuMUPRKZPW71qihMgG5BLrH8qU+oHJOQVeQ4+pcjcJMbQVOHkmyTFIKSObLVD9M5yb8nu
Yu9AxQOmpQfaKu7fusnxN56DTVQ240h8U/wWL8HVCYp56wxrXXZrYdmJ4Cg/6BSeIohte8aS8lzG
Lkmr8cIyOMG21prWW9Xr35M0OyFKNtFTCzPsXWgSKQEbaTnskJ6cvaYjZtNvuh0yWJTtyAQLEQfX
bEhZhDnA0OopP7QEmeA8I1mj4yZsLUVOZEYmq1868VZv4RLiYqUy6KxBXQla+JyiFz6/kRhKuM2g
vWT+NpUNZC90hV2FJYZaDtsC4idyag19QinIaqix4B1Dz8xCVwnU6kgXjJXk+OQRKA+axCAxAxwW
ZgrrKizv3BigFbLiLphJhFqoSxE2mjIxTfJn0BbznTV+liXhtiQ3GlGunslQUFsrp5TRCQPzUv7i
j4y0osqwfauoyWGOFCYJTY2S4ORi99kt7TESRSko7OrvcWrwPjgHJE1h3AlcuHIxSRYEFxL6Wlf2
zrHnaVMH5BVhZ8vYv4zvGlrqMIhFvuZbvSwW6LZswGsbLD6KuwKZZNtBHHLcYl+OJLB3C2Vewx2I
vozLT8DjCBaTtqGoWGPrGAZ7w3on7NWyb3ET7XK2vuz1C/ubH4wk87SP8EyGTWFXxKBaYrdLx+Kn
ZVYGG3uLGMd477hevy171si2NV5VmX9PO7uNAtF/r6D48Qnl5ug9apr73S/9HcD5/vuSNgc2ISTH
9EV5wWx4lD2JsX6Xhz2diiMc4YwZBjwjy35IvIJt2WAjEUR/pVMlT0vlfYvNl76qP+oJ6YPHzblz
kum3mRMYK6o0PtsORdks1g/+SorKksXajjZhg6VlEVyIUvBGrQHj8EcPmExi1H1uI11sbdpzk8NT
qfxRoXjuaDUHrDYaX4b6EgwPaRWb+9zHIVlgC54y0zsGenziziBIyMuisuXB0odC3wtAgMmi/Wb5
L9+rIo2YyB/9XP9wZzgrc51eVbH3AtePFsAeJyPI7sUERgfqwY8af2iIuusZCz+p3JQiUjQ4YZ7H
P7PS/uGbltzwgVxMp3CPGWQov7XA7/msuWCmVNDX0myfaeonFs8fEqbuPRHcF8f0e+gymR8qWztW
FGyuPpIqqHL8mVg3VMvBrgiZ0W3cFybWYVXQdugCtWUBjt8jteeImG9ty4JLkMK9ifPHJlmepGUF
hyCXnzMupDgNpj1aWOOQy8DcF0DiQjz9AFa204hZOHW+FTU/djELymG2b1GUFY9o8UEcSqpN9kiK
PQjMg+AhwlaxkYVw95akw2h6zh/RdDmbzxcaT0bo92THDlBE5oKTGWQNAKyrYFbcMLmVW70khTKm
O7M3S/tRTv0H9/b0hB4/kuZ46ZusuhLBd1gCROAipj9RuWV2chx95xEVf9B4jlLqSajt3CCUinle
uQsYdu5Cw4VavyBtAnTGDTqtiZo5W0BHsuzT+v6ltwu1UX0c8Nn17RZ7Nnag/pqUWvagS/eqHLPZ
q8QZt8kCDEVppOWkUwCMdiHnQHb5rlNzR31E/hBW2lLzq4ZjadMboqZNz6zaNC4t1LVY38fecc7I
nvYcC4dQ8qSmCsdijFHLFDOCcZYIO5DzhKI33AapVx9RjDETphpQ+/iPx8IeMxNlTQAeAMzIQJGH
JLM/IPK+s4kDf4c+wrEIEy2QrW5NEmrwFDvbstDfNfzlYVXA+bLph6xdJ5ty/Lj6UdAvEGh0BN5Z
bCXYKLBw4GlDn9tjU2A3CWvkyEdWqfCqOw8CCLUTOn2/xor+jzMCYF9QPY8Nd8Ja7um7sPRiavdd
THfQtTGtQ8tAOV2Ju+6YQ3t4Yf/xs7aRUepjrVEtzt7RgSjwwfZbzvp3I1t2BIbbXtJK+yV1V5zT
MM3b8tKa3v8j6byWG0eyIPpFiCiYgnklCYBWlFerXxAtdQveAwXz9Xsw+zIxERM720MShVt5M0+e
jZYSeBi8EPAoFIVB+x13RGjSFyTd6zir32Q/5mCgRlQ3SAvZNnmdHLb7FRbloTcoIyyQ6HAnHtO0
ZWIAV7xzMSrJbInviBIBEExt7zoYlnqam4h5ACXTRi9sNCM+rSUkxaGN+JKpDbNLvg6WAqgpDYh+
2iIv8dCyDlpJSjZrsJbONwnG5j3eSpTTOfclDF0+IjbASTr6q1MXVz7QcYf70915qOAHIvUf5sx9
hjVsF+qxecxL6oSlXiq6YZ2wIzaTttw8U943Ifnz6WCP40LvLW1Ra8YHOjk6mZrYMdkZmQ9rnv3E
K3KmWbj1ZTCuqUY5bGsVz8Vh1YsMhCPFnEmhR8EUL+DE8KvXvRekuE5IPRqIFdpPbtQxnPo6f0ul
oU4FMNlKkQVkxfFJLo2RiDV5WifenkTeyyR6DiLn1+y5xaOo+bnPdvnqpgaJxqifP1zL3f8TCfMx
fj96K23r6KxTda1oZ1fFjBpkOMQaqtI+tj0T5VRyTS969yGTHQm/XHx4OtQZvRgupSnWuyZ5vS2A
1jLJoBz36tIYZh4mM+dlG0EIjjO+ol63dT/Ke2eXLdQ3pCZ/p9lcY7TJeaplHh1LgqZ3bOtArgWd
d2mJPFexLF3KaTr2Nu2SQxY9JCPtsgv0AJcLtm21PYF0j5Jf6pfZx7LlygA1yggKNvvP9KCYYfQq
tm/RyhU5s1nzxVBngR8rYH4W7dSzNxDop3CLML5L+1+erX5c0RiP/9rNNI/vF0I/sdOzwzjjM6DU
iMA5zws12Gvn0n/LxouvoGTJmC/9w0aFZiyPIsErySWYFcvspVC9PA9k2nZza/BIrCvLgrHaOaW1
ct3FlNqm6q4JoM52k787U1K9RyqirHMDZo/NT1Nij5+7/mhhBtxPw13py/QKWyXQvP8Oh6PR8QMo
6engpKWIOyrDBgxAz8txpgo89SiOLj/aAbnPMAA4L2K9dYN7Kohm7eJR0gdureEia9gtSVkd4iil
2BF0SzhTILpzxz6/zkFsxqdWDR7ax1sxjMjF9Q8IRfk0N2mYdHI65Ey8wMaTfwyRYByHYjowtha7
ZW7zI/fzfdxzckxitN77qvmJtPE2zOb8MrXqAcvtj1mq+cFrDLgPK3FQwSLOycvu3hA/EDxrvl45
094t2ONtiGAagbLHzol/OHzGvae2U1xP25MwsgNpFbDLmssbpesTH7TCiyWm+sLFBlRHQcjcSWv3
uHBOnmMGGuJ9lIyvAkZW3fEiwF/AcmQ+kZ6E1Sz7hf5S5BHNpV+bVTkbFNbtGS2ublf81qNhZMxz
qDBhX0AXLEg+G0UCXip2ZNrK7OWhy7lkTFkE5pP9h+5ZQT1ulIsOH/LQmsl1HVjWahrXPHsArjca
1wmb425OZxUstL0YbEYuRBE2FMb8xGPQX6Gq/ajGIHo3GCNoWo/Q9/pmeMNve+jOhCU+6qG7o2xY
BxH1y1EZ9mdZafOuijItbCdWJ1xB2v3ar1e1TuZJ2xoZ+7W7iWV8r130F16ED6Rjdrz4xhD2LUlr
ozhiqk5e2Nf1mTKufd3Ph2V6V7JKX5F1sJX0RH3dmEKQuHsBDfLdLswVSteGXT9cGOj9PsfaQ9u4
tVE/7X3mJPKUarAG6Xp8WrhE7TAmviAtLDtyThRcZtgtVHVlAKXrkNYOuaogQYQ7KO5EJDEr41CK
vAhmcQH8+FDKEgUGsmzpFWx7Cx2j5kbRcyn0AcLFTtJS1AkTZmtWF92ojPIg2VhBHveemcAALeb0
05eBWLW/XgQJb2k+YBbw+NIHSIqisyCKzf0t4rrOJptIURObz7RDm9ib2ONNzTPG9GFHzwqIBuX4
8CCyOo8P3Ew4t2qUXEB+eIjntdjXI6Kx7Ij0VCNC8FKQFMcqfxm9hSpJO84Dw1kjrBSgY2gOYPXE
ziyCq3OzlXaOLAXxVkO9h1LCxTLq4Irl2smkZuiSprTYGsbQHUXkvEgjVZe4Wc7ZlM0QP2P7qWy2
Ay+GF1sTGY4lyt1UmdTZxKwR+tS+di7Qs2LihlGmX3HnNn9E37+vJnuhtKj5BJKo56HYCYnGKAYs
7UOaXiHaXGxmvBM39Ue7L165Wz40WldxMmWMpwTYaHo8FJozHRwqL0LRld4LjzBe2aJikz0aoRj7
h7jGBq8PWhG6DgNTybr9Erc1CgC+iX1b8maDO9txD6LxhnRN4jdL/kWVNsp3im+9qQCrkZAujxTM
PvL/Bhesg34guKOH1nOdUbij8Xj9Snv1YJZmRz6BhkbtWVRLde9LXkIOtR9Z5MoTTtWGzqQhtFv7
l+Ma6aFxnT9A9Y19t3bfg7a4e4NgR6Ap8Jjs/9aQRDulsgVbqiZ+XNP3otTkc7UODn9q/kzdprVo
lfhZ+7SA8lxddOfZ807UOzFra7j0onw+K8mU5MrGvqQDHawRfihrsuuQ/I3nj0UMOCCd31KL6/fI
8gk1Oc3e/g/1u0LqJKlaudXdJMZ7WEeu5alcJNNk9dwNvma8UN2JN3sp/qCjx8ycxo87ldhSzOop
r9UtaRUgW7Zle0/i0HJXyrwd7omcxY7vNuN0Tae8J11u3clVdvdppTJoqowLa717q9OoaTXdH0l8
n//c+UPfDmczii5ev2l7APBRx94tzWmCJR7DQp+ede4AJ8YZjmGXgtR2AiYw0eu1Fxo9uHaeefu+
Pk2jbtz1SVM3sZ0/HWNcGrezb5Ux+NWojp+gjR266ST5+r9l46CErDgIKBD6Y5f8WkS0R+sA7Tda
w7O3yfNLGyN0WGCcyrQ+qqJtsNpE91HnAmevAqivkv25MOc8EBbrNmzu+zJRz9o0uV8kEj8WaKJq
rsqvVZnHCjz5phDVT0073Kt/Ip7pflvq4yIin63Jd9SAx5cgLpvJBizivRJWH09rHPFwLxRE6ao5
is3ZC1AKnyN+Ld+j9GjIh+VpiMYbsdp3SqHEC4cV0EfKynyHKWLfLGV7n4z63eI5Rh8o/NFXERdN
16YgeZqGv8VgnsdliU41dz2ddSqaVJ/R4DCZuzZL2Bq6U1DoCFMFCG7bWElD4T/PEJV21KFilajE
X4+YBJMbcfHWqBDvi99TjcEOEe3QeemlWcVvZVwMRUE2C6zoaQLcsGOlx90FExX66ZbYr6xvfj7Q
4V2f7fxd9GS/ahCAL8R2j3Rde4xJFL83FT9pMCV7LZmeEgAoR7stisBr3RQ3kKgONffQM74+atCS
wjoMueWQtpF10Pbj58qKGgP9J56YOaBL+gMgKscO7lg6T3m1lnbzIVOjBO/v/LKtAYqrLU96LQJW
Q/IKcyhIYbGjndJ4kDoxPiCP/9nSmfJYz7hbEdqPpbf4jWz1M78InpWMRQqlHL+GlZsGO9hEg77h
xizqmiooS9UdowK3p0MOuIrkV0o8kKsG+mve03bRau4pgnEPiq+E/5kK3J+z+GNm+NrMMR2wt6KL
IBLpVjf7LaF7IsU2O5AkxDFfXOh5eR8qc8CBupdWKi+r6SFkG0PorEaI1HYU8IyGvvzuCqLnQvxe
DcEWe+RUT1CxORxEatl3GihQlETdUIGS5D5C6TfICO7XMTKKYvCGjAKpLpaQ9m36pHvF82Wr4F20
aj5FzbCjIqcFmbvwbki6X1mXvNsxarACc+8vSRVA8RM+0CmiQQxlnj38xsDZY+4A7OeVmKXsLHA0
7SvK2Um7lHpM5viq2BoHg1e+W1K9xEIr97WmvSaJWR7GFBrTFtbeGSAH92X1GkXQdgZYSvqT7Y5J
mIykYGmH7hgpd6aduJRDuelFAJXKOsCYNNp2LU7XNGe7E3Fq7j0P9qmWyVMCD/Ewb9NESTx1l+iu
HeiR/kqwQ75LhSJsJnl8raSjiFhokG65+dTSuHO/FCEtb18VP6FwkGxt2Sw+0Dp2zeL6T2mvPe4b
rMvZ9JobfxDHG9xjr/3mMSmT1ggGpoYkXtdwEkxtlkB0K+SHNuXc2fAF7pN4eJCo3vnovZhxGfN8
yBPUnuHAvX89OA0mETX1X/gU3q2k8xtENXaZ1Gu03VQd2vzcmPGXlTq3EksmFvT10pt0AreT/CYp
zspVT5hozfrSuMkZ6Dn+1dADG77Y/DZbjVVCO/M6wRT6gFjKn7ooBt/CaYMsHb+nTOJ+XG6ST6aa
ndXX61GN5k8FPJVPe/khY/goLCbO2FT/Ri3bVtizouxFPYJESK6YdcPUEZXf6Vwc00T9ZJb6EEuR
B6ahETodN8crRZgk++74SHXAJVQ3aebos01iNRbTIVT2JUFX6w3VHw2J0MRuqyvYWQ1+dJBkYgdB
iblYQCtiL3NKLQrnGNItX/QslFNoUVvMF4zUQjAHfCPufqbZqtjLVaf3ShG4LqU4K4p18mnrFy5N
FE+XKFY9H/TWICAOPihW48BdVeJ0y5rvrIx/7ELGyFnuUy3a5yxJv6qILICaojeCge37OIgv2I7r
A9d6xf0iltwzYC4xWtkUgLbPSDcuxuJk3ItVDWHWW3RQE3IlqZH0uCO6JBQpPRg9dYY4utSLppk7
0UYKYkqTh42HGL/AWQqU3f5te3sMG1X2N+Tm/Whh1IBxzN1to38Bzj/z3X8N3lz4c3Tmyqj58fxf
U7enncF/vqVe9DA2w5tTJ7zq2mmv7OTFs5LoKiU+jKHEP74tARfmB4paaq4/iE4WIS7GC5YsKA4Y
Rq6Ok2A1WMZLTMTkMDpVSLE6ueDZwkeyOP8Cp1yezNkwLw5KYmCrZj86SflX44kzk+KfmaUm3dUg
r9vugsC3qZQRcN7E4yLLNx+1SXPxUv1lRrA/z910uc2YwVE90/mAgIl7mAgMpnQUw+FP23Vc7sTw
d8A6GDWWflP67J6hEn9N1b9k2SxRBPn2tq2poFreQR5wt1oZ8WxOpkM2D/wzXI2hKdEoCEYOvkxi
MzCKjyLLiGJ5ktorqV9Z+NM5RZSTcqUqPlVJ9eYuOj2h0b3v3JdYdphByZTEg/iruWkWzpb+yqAy
HkfHo7PVEP6o6d7eLtVXhZ39AmNR8mAsPWBctu55N59Wi+2kSayM8kGCqXSO19Ah95EA4dMyaVuI
bPQo8lNrE/PW5NnNkuKYut54hyIHNxaic2BPTDfzQutibjzUKJAjrIne3MVdY/pJOyNh4/jbxQla
/DAvM08vPAdUGnc2P212uII55wb2S+6sglmtsA+yGgjXGhiYx2I55hyPtjcENTlr9h1lwAU19b0Y
fC9L+3+ze6xdA19iBRvXWDBRwYZ3F379XvxZu0BZ505ng8uFO6mBcVmZeYspTcoa8Q7+3MP+tjzg
gOm7lmzMwpZrMyE3WBG0GPgrzZNCeXfoNGG9tuzwF9ysFPclJQGsRA/nCuIMerK9T/PoyuSvnafO
aK6K4hcxYtC0xvrN6uIPDm2+S7tOgsbLGX34j+GljyM3149YO/p9NfWxj+NTSjU+LjQWIG4u+Rng
tHZaDOdXUsScl3iPCmQlP7Ya+8wsnhXjcpm0CsbvqZpXinIZCClHNUO+ONufS3sfpdqLNXkCXXW+
p8CMMORi0wKBWOGZarUcGX874RxTXIW3vKCS5kHZ9o85f4PwUe6ntjvURaZd0gzkhxyKeE84uyPw
TMvFMoMBV0n2unLz3TUJ8YmW6dh0MKjD+njeAsi7tjFIi3il8ifcFLpc7sQnvL3ea9+LwnhWzy1P
Ry54DS3rihe2fpdWVYeLEMDaxlcYoslZmAPV75S0pZ74zTXIvuorVPtWAGdIx6I+orYwCRGDeHR6
gaNusK6kfKbAiVrDryf7WTm8rNh7l+3wUUrNx+0HXKke+PTZmHp5EQp9frEiZ7okHVv5mmCrNBeS
By25HLfPOOvd+mfU/i04roj/U/07Y93wEq/gUobFMt8kT0MNS8Dt9U22omLnTp2dEzG2lMreuY47
X6nYzVHSs5iKgyLmRpON1h71tgW0Ynnn4Ygj2LtL+AXFeCrWzn7W+tkD8Iz3kn0RdXdWx/4c81dR
Tngs62G3NM1T6+Cji1I+7pnoQdXyceYry6YSFvkRMDh1XLLmVz8kh3KcoxfGMRQoynI9y0oel6Q8
GBtnNdcw5WIPtfZ5Kx5d224IMU8jLRpPWmxhkmOJiM+WRaSbiBeDxAOIsJc0k4TS8dqdZi9+y0pM
dKtOwVpXY7ax4IL7NPXdeWduiylzr1lYCmWumD40VpdQq4IY+PG1ENanw6bkFw675tL8541VPh8/
rokqpphVM97G1a2eOq9E9MFnNkz6BT4v5oc5e84dEj1ep+8zvKis0qKTamsQEFb3KMnecqJHbGDq
0sEOjlVJWtH3GhnjocJkk9TtIw7q9qQXy0vH5QSTXZZT4YF1jeE1ajEmaCbXCzkwx1uULDvY8MF6
li5ZsiHP4n2jlb+7tRQ4iNjlFdrytkLOaLDen7iZ+tR8rYP9IarxT7z0bzp2LNz3FbbkEjxeVcQt
c1T+EZfWl5HyqLlZlp3kaP5eYTff6tlEqo1BHq2xdxuzo4NOgUUbH3bFZiZ3XwsoO9Q9ZHc0XpiZ
k3lpsLsnWXoSpcTrs3Vsx7MekaS3dJA3YD8LNU7cmnHV2Rte9L+/GMObsGftqgRGAmnbXAyGrgmL
aYW0ZFQ3lw38Ab2sO09L9mGpjJKuVX7JgZQIv2RSdlnNBbMDhlcX3nimmLYk2z6HEc6QYzeIX6Uh
xU1o8y/6qgZuVxOmXqe/I10PZ4cIqNax6vHWLPYdfbotJdomqfTswJ1HXLNZfOdp/ZaxJDwn+mDd
7L84OO0bEYk/lIQQOpxL65C0PNSYUwKUoJ+oHaK9Rg1zM19p9Ut2STImjGqNe6e3kG1cToNftSV7
7djXwJzs65TgRe+m7yZKaaj9qVAe8Jt1x3HSIuTCVpAxj59WEFu5h920WEogZGQcZ5uYFeWFtNbU
7lknEc7TXDy369Jys0ZfbBs+ryhLTlbrEA/DJ2StDnuaoYVKCzacKPrgbFV6BWGfFfS8DkGyUjNL
o7adEClr6ogiPAqUoj0gshk0W8yVX+vZ2e6CyouXDyaOJ4tl4LUZUAwcjAsDrpPehgvlLaiHpu14
V5FzReodMyeaOJOtxKAC0w7TQmTDsZ2L88rdJ3ufqqw7LWsC2YAa74upqDP2qANSqXtnt0VUMI3i
QE+T9ubVH/+db/zJTN+YFegiJuJduYw6sfaoD1aGR2ZJ45vlW+73a3/Efpn4ncRDknA+ZeBI6qKu
blXCG1cowfV2Z+zNVr/xaG2TyBpThZgPl7kBZmtqLoCt5px40XTk2gCQOZ+cQ61jufPGiEhInUYn
Z8ublrP6tJ1s2dceJQkqWTbCcqhn82uUx0HWj0ce//iUo04c63bg8uLJh9Jr4ksr8HKueXrVYRUE
5rj8w3yBvo3TtZeBKMTfBJGFLXHKhjGH8Y3Q5Zi7tXmaIpBfJv58v64aLeg0nW9WrD3XfWpEY/kW
r9aXWKBRYUaK6XGEcGPZv0wb1aEHJ/aIA4hfoy1o1owz9OEMfGlDNIOZ9py1W/+LXoUUpOS7Ujn1
ruwspgBM5JTZP2arYX50w0aASB2CO/roR5oevw2otaAcpHtgkvtHhZ1zYJqnaqbjlotRLmQ/8ltz
55tRVUcrZSYxiMo4ETH/CL/Njp+H6ecrOuVik7Kox4nYAev3HY8kjBNbL2/M3X6PR4Mj3D5UFjQT
F6+4IrN2m11X+bylF0npVhzN3XF1jeOUYNrMEqCISUQ2p8Br4JhPUrqcBDN5/yTTCPexZUaPwm8h
h/YwunhxG6fy8S0yxZur6U+T9yull8WN7mTM7zhqaDOriD6xYySKIwoTn++ug93Kj3E59OCSbv/9
ZXXUYWja9ARWj0knIRNlFQ9avKCnE4G4Drn9hHFOsB3SMbK0xnEoNcvXS4aGclzO8VC7F0tdYSCd
tGhdLk5r/jYch55ZLZgqxvYoRzLWeqhvmgqNiFaDLEl+GlJEQQ9D0ieKjbzQas4B7499LI1EI7Dl
dRShhHqjf68iLc6wke9SyOmpdzDc6IbOWilF0C4L67x9ee0DT0aCH3+kzMl4pkCcC5asrkPVYGDu
8pmUbEedsB09mlbxaelmdjOn8l9llayrxBA/D7P3oHszLVNmj3+ByTMCRhxGRfV3mNXH86BVxcOr
SxQmoDyFYYllN9vJKxBp99CUzkQAsXuSVZfcTFalcJBwpcV4p2zNepsaW/j//YsHsJi4qBpS3g2q
mz7zI570/gFreX5s4llxf9ZgRc7QjDFv7JLOLM7WjB4xpcVr0sxgNmMLF7vtKN/wShKnSTdjhTED
z22/ySuVrFbqwV9qw7pqetP6mPL6fW62NktbCbQMp6WtF7e4YD+kZp5r4aDF1NiJFOJk4kBvdNnB
NJTATqZlcGPBdOG1Ni46m77FAZV5aXHF9gzi56zJT6D8xcmJZ3LUpnvk91wBh5PXHg90QI1v5XuM
xldcCgGGZmeHXk0GeSuRzOKCFYzr1SebQwWVG4CVHdH424NAbgZ4Ro3MX7oyty+kjNqjZ0tSyrVG
VEZ9Ctt0zk7q8T4zUvoLNH4cJLg4GHJzNzSTPFU6BYuzl8+BS6/yxcUqDXOTjTj371PvAi2pCv04
ja1xMprosxmAt0xmbhEX65qg8FxEvkhhldzyTngi1cbC4mXYwPnjnbsh9zoMy5eRd/xBn6Zun3ne
X4l55ESbNU4L82chkhGkdImE0eyNCFFAcD2Lj6wnMC96vMpmhNcszpBnI/sklajCVY7Zx2x8aiQq
qsLEu5BRGuGsPhh1PtA8+p0xwHNmsCdDqNjN6/oHRhRGuoxZH8L9RY9bFfAJI3k3wdDhLdGU6Hda
NeqXgl9baNUZDWbxS6dYG7ROf4zGlC8mNzUmrS7eLjYrpl7nI95ie/WWlO76g5YfXZDPu5YLKMme
UeJLbusD6Svqu/kvm3jsMX3qYTaPGpE/SQZeT2+OYeR7SX/yL87En36FfJNtWt7cr4dWTtFziy4z
YI18wC3gsiU69PDZH4lw0jQXp7h0G/syGwV5B43ghySjjHnd1M/r9CtH+Qb4bXKj1KRxJJ/0yrYH
MzUVtySK8QgnTMQ7zwGXUjpl9ECFHqUvkaD1A+9k4dhHSqB7RC2+56jmkhXJs1nP4xHurIG1jZWv
0SOWdpDPLxrAvZ5N9alrjM0oMtcHGCKcq9P4meAlDsom647NqJ1WHsijyBRWIVURC4cNboWWZtHk
zBBypj73GqXmtHVeY4OfUR3sbbFq2aW/9t5yqyPSsVPch0XU1JeMJgQ9dtwjwZHlYWqw3fS9e25k
ByO1Le2dNDQrTLl9BzyYD24PoZOupfmm0bRxIwJjEFe3feRr01fk6rZHUJwMAx4Ej7cz6Le42s6U
iuLk/3CkG1t6Z+W5xIkFKcVMHqjYVYem3S7pXe4GtqQYtTV1YM0J58VIzCVbrB8ToH9ZF+ULf4zz
bKTiSJMG69kUmYpML2b37uC8wk8YUTzbm8PIeWsNxSImMYCp4djkUtqkJRyBljozuQzcHZZPl7Eu
nkR3y3ii4eYvKmABSuRuam5uU55J9XnMAi7UQRqZQfMD5mg6Si+wRB7p0jvp5Jthq2xpdR7aQyMq
Dze1K2BJxsbByXNcN54z3uyBDmardEixEs43Zi2c2oxQjugDe2ZPhgj0YxD8wCNita+Y8v7Q/5p+
Zh6lZhnBRRamDtqFMnxeLhzlU7C4yc0y0+6vU8wXM3e+E8Shl3HDRvDZ57jWfve87wCDH3ib4Pcd
sOVLWv/Kwka/EbN1bfjQiTchrJdl7ZuL81ixECKtXtJqJ94XDut3k59g2EcutnWa3C4Owf5NhtXl
jKFIH+wyMEb1K1nSJ1vLutDRh+HC1fm3NmX40RJeGm6LMUrDYXAEWUDX70z1UuFadiij+YE7/qjB
ldtrQwd6dnFPViKJEpuGeq6ZV2/Snl/yZr1pDo+cDmH9jK9566qxTo2ef/bm1P8i5kcb1K2aZfaU
Ff9dOLiMOCjVF2cikzOikodL0lBgXNJbiR2Ofx114fGcXmRr0mRWwI/vyVYdsqgi/8NrqZiprNOU
opYwx6je6++NFTd+W3AidHZPDgWLpJ8uOJ0tCj2CdEipmxWZHc7iNlbZcm7nxG+tNg9FVL7phQv0
raQcwpxGmjIlwXLKMwE4SRZCpdPQcG3yyl0NCmM2bBTRI9gUXv+zMj8FpUldkSR1EE4bBsPyVpZ/
3xUlbX7hQKsr9P4MVyU6Z/X6NSy8XwBPNzjwNZ9COvoQhP1iOPr4LHLI0WU8irfIju/6MI47IP7m
vqnYHPxXbVRWdwz/ycuSfncKJIVTxPlVI3FlGOXNWVbE/2qsg0aYgDeEMnkZVluVNI+WYI91QNZ1
AHkKvy7yJ4kW5Qrbu0/EnfYtoJ8DL1aE09b5oDhuuRXyjA+jOK6D+bCgcN9Ekl9obWIXkzgU0XjO
SakaLRev485kvkPuBZDTtPLbTowxqIqIeLzGN/Nfj9VYJe2Frcmt2yweSHnEoM3QU0gCehPyNq+v
kvnoamT4ywiWsdGastOMI0S179ibHpGr6tD0MMuYEbhagPXPtTuahAKGkKm0CdNsyXammJNjZDWJ
b3szm8irbvbxvXLXF2lM+sm0p1+abRd314DCpPRGhuBSqqCecMC02x3EHIfzqktePA3z5iL3vUQs
EGXODDbl1378u8JruDhmRwu4WUEf7dujwmL+5OjKCw0stgw25EUmthROq32nEWlqFTPgYbFI2Y91
X7Nq3fuo3M+edqkso4IHHt/Mby/u7tYUn23lLpfK1Nv7f38xB9aSljZSnu7947fZUKmujunMdlCK
6KRjFm6cKPLTKUWypI7JkDAfNA/iLzUeB/rR1VMP6OVRH/bM/s0ZV039/7/gVh3Rc9WVCteFbWHy
PZWafrHoBqhyRZBLMJW1wDJ3ppx1n5oice8n6etc2q6e3WoEVou/k91XN7N4nrpCXIbYoYU0Hl9d
9urHqtiGbYNXi9YpghXNVAeWM0KkGqN9b2IdSJ0nA9/IbIji2eqYjiavBgWKuNixbj7Yme2dHInV
Yl6bT71j29aWz4DzBZWybVAPQ3yeLa6rNkcDmVn5ksnbtm3Ircg98U6bAb/h4tEe5nJU15I/kK8J
5zkTnK5Z3Y+3Ts7gCEmPTmFM7XTYoDyk2hAST+pCY4xZeHprE9q4cHdpxKCZry5VD4PHdKRFzb4n
UB4KYMGcvx6Fg5lMArhvQd3zsTE+yL2M8dK2yXAsJueP5WKehX8T7esG5WFrzyQpRULMid71DPMY
nQhv1jaDRuy+MoeNOwfheB71GYsLhlVilWfHon5lnkSBmRTrfS8wYJnpXWeTOApRXCIDDWzBLCy3
/yOTWzUBY6QONznURgd6zpA2/5AKKnMyztgK/3J3sQOLWPuutxM4J92CD3SLCg1G9FkUJaFmUkup
xorNiH9Kx3kU8KYu7VL9W0dStwIgIJgJmT8VU/wHv+TA6UqjbaKV0LdxR6fTeU7j8tBXOluQCV7k
yH7xomG3TKrsZVBreRKebSJ5ai1Ak4hwhlZ1IAoshCuDjp5cHSfhebtCoZJTFtafrA6PYz90pJDN
f7gUmavAOqB50PAck8YGcosxS4ssk0aKHfUn8tM0iWZWY5Q+DkpXt2V5ylWsmP8wLKdsbqj9mR4s
UJ5XaGDbV6rvLRb2KHtzfrH4tPd5rGZW99OnViAh651W4Xya7QNwZqx0rnKvy9w/F4RX2o0g2QhU
zsl9qehS4vaLRTbjRnzjEPvOBofMO/Ai2VvIm/eeM9ftlvTDnpCqiih7LTJCqfAPirfYkNMti7sp
3P7ZMljrXbVSkUv9ZhdLAHhhy8ywVgeMaQtaffEnEeh6FpwdLo1QKNwFZ7pp160fsbTiVJOXucPZ
BMLoUvcWXmGtsl95hMN5nQDY6hj+EtH6RSLfwTEFteXxk1hoK+/tzXc1OjdU+EAvvObk0mnJTTvf
F8Vzz+kZSPl7HPP8qWP5TAaYAqOuowFrHmmxtmqQ+lJm0h+nGH+fbGDguOaTSzkGjgamEZs6+kWr
6mOsy0su0LcxmnNZTY1xV9IqEeYtxDKV/DPK5S+J6eeuTbMjIm6IBTW5zGwGd7zpAYIkfFhy5dtx
7C1vmRFlGqOJF1lnByKl3ckxe+2aFs2E6Xd8i+SkDqtKuCJROUYOzDhVi5fjYRxqX9krqcDRWh9W
Da66oFqRoeyxqLoj5VTgHDvrCVT7rUzFn5afUBhZ+XFaE/MaaSo/Fj12JVdjFQ7e2w6IdDkPpWpu
ztSr6yLVbc2K/JjqxKaWyEMb81jJkbseLsBY+sP/2Dqv5biRrtk+ESJgCu62vXf0vEGIEgXvC/bp
/wVoZnTii3NT0TB0TTRQtXfmSn+IFdzF/VUUw5tnOlR0CKujLZJdwxgPQDaxJBurr5ZdqqrcPI+h
D/lPeoOz7pPuS3eReuhD/moV5CabrcYMy0Xi03nvflnhxNH0cIvbkOjMgPtKWvcvgKWpBKQKYGEt
33g6vCeSh8alTGsysmufdhk5Mdb0rRSobUjN68PQ9W+AV0cUvGZwaMQlQp72ieapqOzoyoSCwskI
HhPNHNiFYLzkbZVD8zDxI/qrsUq+7ShS4NVnEtmXwkM64iKjOxPesshkPeVMvS1uu/6EEDQw58Rh
feOh49wgzudYuHCsZm78hGACeLY74vOYOAa6kURXJcmB4LZhioKdhkU5cfZsCGXnLkhJQI3GiEoY
05amHLylkyXlCi8LXU+v4/1nP0Xxc5RnJ6qS4Zr/7qcfFijpYz7hlTRuxqhfWfzEd9SLAm7ApsDV
RRke22Dk5KhuWu4HMjSfrEChj9s1R422zVEkmGMqdHZgzkCIKP1Sqvgx6lL+sMhP9HoV4cRAE8mY
EhycMu3hZbsjywI1PzWodDZyyvXi6SMOosKhlpFZsa67INk2bflGmW5d9uZz1Wa8F37wlIwUcqts
pxLZvshC6iLoVJCGYqj0ne6rRyNr6PTrWixTF18Mt7IgQ4qbPFGM6TbUBoQizPpOYtSztYXla1Xp
7qkuMS04dI/RqiTquTfJ7hnqD9t+wgzNtdaIt4SghZT5RjN6tyahXUl+0CvxNxARRXUoBss+BHUF
zciInKVhFG/1JB3kRg7tqjOKreNm7pMT0dD3PeWhawpT3wl81SPlXGET2ooi+oS4sfTXbhdj7CFr
8lD5Ijm3EYKzxPaMi1b3E+rJeI8lhkIvM5SnKuFDgyD/ZzdmVyUrgl/lOOFXwvxaZzTrOs+t7jjL
SGnDVruHxSifEvttYPF6UbWBqHZmw8Nm1NqWzLL+B2q2JKQLKntlYXesO2CoWihtKnUlBjAnudGb
eyDI7S6hKMPqJvEPVF+eNVZVxyrMhi0OBX5YGntL5AbeSs/JttA8v33GInKLKaWFloafj7LOqhgA
10bc5jZ9bTc8TvRwjVWmXZEqlx6DRk1Whku0ohHTUfPy5Ezsu0SjH3Z3VvWsgWXV7nAreycRuS+X
Kkx1TFEayryM6j8RSasKUN+x6nBBYCh9aspQXpxSuc5bQWweQMRSh0I6hn0h7w5CNpg4hxQzF9Yi
1ECm+DSi9iziwHoWpFAfFHBFKwM81WcyGrtCCP81psyIHxo7s8+i9BMICwlzWf7W176/d9pUWUfo
D4z8ncr611icoC1LLSJ3KovPqtcjy2jTfU9O4LFvbEo3eQubyFUc/GVmttPovm5S6l1b1jrlsg/S
tZFhUVGGQ6jSuA1sRVwME2AYq1/3QP7zG9VoWFI6FW+u9IdGKecBnO87NTsf+czPKM/bhZX3LEYU
gbYOeZ9WQJ3X3ugyjfuOZvUK+1OzH5L0m5yM8KbCIk3RMf4oUhUZQqJRllMj52oCUljqBQYRmRRU
7ONeuSgmCtLMpxmpUJuBvJZIm0BlYDEaH7goN/ahXT6YD2WrzmpOcVx91Q64MKeg9GuOnjzUXmJv
6oQebFjH9iF+wmDMfK/ChlwGo0rjpvtC4pAjhXCdrdba+yoAbtY4gb+DGi4kjS+6NrxqwGiAGh0h
qd9dwwBAHDoprgw6nL7tr0lK0Rci6+JzhMEC3Fi4kWaYbIKsMUh4ZzqnI9tkNdvyEFGgj6pquRWt
09zphlHeiFwLjYT7QNQgn7Q8spZZ4CQvcdetRKPFh16l3wtXmCV32ApC8IBqN8mp6eL0DmU1vXdy
qNe1oO+X6u5WZl1Ism6gnqB91I8WQyd9klZbGd7NMSKxHZN+hXQGW86YfQ0oiUvVhv/Tc1kUdHfP
WdFj8y1jhI+V2VEj1vMnkU4lFDxfKsGpBynd6hKMkwEKWW/i3TTVGg4x85wPR/BkSeVYk0hQAHkk
ePvuGLl6dZlJOi0uJqsucc656Q/L7NOHUcWU4aS6DWK6jLpBrK2p10ykfB7/eWPBdXe0/FjRKYF7
GG8ALlZEFSDFmBOpC4POa1Oa3pMyeT9dljCump9RmPsBNSH8sQQZnJV5szD1c1aFA58csgOZcAOI
C/tFj3hzEzoRj53QdEEoshbW1KJdzpsZWlp7YRf1L6NGog13/VfXGi7zWpxqftK9mvRlVyExCAhb
U7ismYiBYPYBsizTah5oZG1ilB+egpxaaHTeaeDbSei8WPgsduhrCx4dgySzQMiDpd4aPbK+kYD+
4p1LmAUTgRRmlXeNifjYdbl2trFmXNWGf09phJxGLF6jh8goxbeQKpXamMK2E4jo2dOtArVXKY8a
cMRnnZb+JiV1eD0fVWSUYMJiTSCQEEqxDny1YUKg++MtUY03HmM6EJzWuajpp57oNK5NsIZk7X4m
lqW/0lNfO7DLVspoEIKR1/sk19N9gF38kVANRxza5x4VPyM2HkY4tkfSLKYlnVuVS1nSTMok31pc
G8AYJ5RW/EXzy0JLi9M8KOUI2aY03GDv6yMltX8PzOc1unuxzUJdz0WTDmUexMYGe25f/KmjkE9b
nBqrVPdpyIepV5mGU9U+R3qTUG6p9HVc6MEyawfnkwnGthj1ReA7UMnGfM8SWN/hLuJDEdT5xgoc
5ZU+NcIdT2vIOWJTKAFavcR+BWptb70093B2FcOnjPGQd9pHjfWAFaD9w6u0mtpfC1QjxscAZy41
dIsJePXkudIk44VBSxu5ExGONPCT/+yregshW5Ao9Hf/PU8P7XQJ9tDcutN588m1lnyEYyOP82nz
foGGH9mAuM67utDwLp5M1iHNiH9+HrrSdUfbiHTX3j4KJhzHQloAH6YhnKNHkN6g4Uq4vYFtguEq
f/lDMh5gV4KoGHKIhXEwHGWtNPfYHZu7U5kXEv2GU95kJtpBmjJ5Hgd7KyWzWfWt9pHGw9XJrF1H
55uwz/5V0j9E5wVpRjITIEEIbzZCHz6lZMzVhI9c246UKRG09srpac6pXiZpYuos/HyHbqqqo2ka
3V6e+/8GWic/W3orzKDSt6Yr6SBXDgZdK3x2pZoSCV3X9ypqXzVfR3EO1uqlLSUq+Nzuz1pLblYL
2m2JoYBrstDI94UGerfK21Dqyn0euElR6MjC/FJYDh+ghtgf9JdU8ka5jGP/My7jTQG34BV/EmB/
xHQrTc3zzwwFoPwRjKwcc/dEJdf5M3TTZhbbajuVd9GLpfKVp6+7/X/Om4/O2x0+Dk0fimctwXbX
VINyoZjus6hAEoELxMDCRYF7AceTm5YbP+iKiyWTP2amMa7ftj45dlKfNKIctobqvP/ZclEPMS94
ygbhnWuREHtcUGquO8T60EXZKZ3QHRf8Yx+pHQy/m1B59lrDOaT80it1cLOtWvI5qvBOX/8MKg1I
8iHpJQQVC2yd5AO8Kms1Bb7YohOHnZuUh26ymTRayEI48UbGbB7/9xggoVTjsuXk+dDfYd5HyFm0
stJOXxWuJV6wMUrbelGU/oHxUT2gQAOD0JAhB6sEF21dm7tpfnhJ0AuqKJl4KYGlnJPqC0Rechm0
jOq/g5cIRudkQ9A4wVAVWGsKLNMx9p71jMJQqwn9EBiUSftOm0qrPJUdfsdea3QEFIkPVcqXO6tF
jUI04y8jRQPu5cQPEoPNJKE2VpXrmZQVGtaJtaroB60hRI8leLfPA8AkY+fdff9HbnfDd9SNZEmp
P90ubE89P0Cxa+eRu77zCAXRKemYclWbknk6hJZV3Nja2atJEfDKTaaSFLMYwj5BI004yICb+s8m
6S9OglQSv7JYVIbEWK/FVMMrpF9tq4olH8L0ybKJ3ERCdEX3ZxJClgdcaKL4HHLzqFRBfCunz1bO
dG4XtGD7CH+v71ZFFqcy9vaumZ44QLKw8BcYLnptG1Og3YziKTNq78shkmqZ0tC52iGu4YC0y+s8
dH5VXq08xc8kJ8EfIqNrnFCqo7EweVyr8YQCqVtgIMrRFIn6VtaRs+sAQep98SaJX30b0HVurMQC
ElAq9zznt1M7kHS1HhfvWeY2gNLgvcdm85ypWnHOQuJx8Kcshnhrs76jdtKmr7rZVBujxaKHzvVj
HE1s5cotjh0KuFzlD8q7Cti1BsyUuiva2IVxWzevVQan3vCrd+RhrPV0urCaJp/7tpjuwgjqJSpm
FlHfnhc11IcjSd+f1h6cTP/VKcpbRmFg2VsFKApp7j2nkGu4Ie1prHDFYPLd4twAnO6iQPNM/1tY
3hu5PORbZeB+4r5rnzqCwmAWroeuph+ZsGYYRUfabG0TwjSBEqnjX9Ms/a2XVf9MrJ9ejPV2oEWy
iGVHQEeeHnSFTBMWnMWCCCl3bYkPyzGUo2G7v9sep4aZ2L8I18v2UWIxEbQsmKUO9chmqAQIAfFb
oSLzqyxfDauOD6WXkUSv5k/0I5rtoNS09dUoPcBr0Zm0Yqs2O5qdnh9QcfaLH0DZgtqJvwgHZNLV
UeCJ8OvdlQwlu4JJ9quM9Y9MqOIprWU4xfSwVgXBhcSCclZKtvjI9HQYEHvgs6PcgdT+5mDz3GQI
c9aD5efvhMNfLCPz+IjbNTRJn2y5Zhz2dTMm9yZXrK2dxi/EBMTnvwPFiPhMZuGeBzwl90hY7YGC
3JoelX0nbE9eYz+m0m/J18FWU8hdAxna06aio8owTEtZaoGUr+Qt+1vESxcVZa8OfO1UGOKFN699
zIOWmBhKfOpBcSG8BLgDai+jqq/zUfNaFz36mgA14LJHm7FIaFvvsVUbVGO7fO1q9bDHWWWd+GK5
K8k8B8XgnL2q/2eYN0sAa3IceAAKhGB1mvAvT0l7FcqmLA0JDKPT1xV2/G1jNf25jNRgRwfuc268
u6MHztMWuk/9CN+Z7qf0A6ehDFBfL4zZzj5tWxqhJha+gvlog45rYZlteKq6byu7hJmfXFksQ+OS
RDu26Lr3Plo3+uptRy1goolbun6Yh+S/VwOxCDDUplsorcR/Dg8loqKxq+O1Ov1gpyO7ti+2URs3
GxYkLMBIWka9WyiHaBoonyq7wrIpoZviCIKNGiouinztSHxZijumsPIycYJwm4ozbS6mT+WHq/fr
DHX1jgQvItz8wV/Hkq5aQhL1jnvjo04M9VhX3dMQ1Rqmg9rF+OaZpBNhr9ePuP3s5zpyV/h2GiAh
FB3IL19BuTqzerz22EZPqk94YtwG1Yraj322sDOaZDV++Bu/QFI3omH9oIpS8X0V5NauD3oHEUwT
SDQQpDUHnv/k5NGpkmB/fZLo0YnZw5qsW2elWA9cqT1u1LOq2v2Krnx9rQ39Z4y9/ODWCrfDxCe4
OAV0Yuo+00kf+ZndsEiJcW0hIzJ/tyPEcYm4xB9ZmwzC+WrCUlu3Q2OtVdXwNophEUMUSmvbtYXg
galUy7qyqCY3CKGGITZ3c4heWI3WUpPUrEUKvTjPEbjxuH/xoAw2esEap3HPWB2WUR3FZ5KBAB54
ovwzKFG7NULiHtHIVlfpDrRLJ9cAv+o3E/V3n1b6lHapLb2Cjow/BRth6GeSotEOtEK7PyLb749a
NKwqILV0UJzxVQ8xBptMALaI/uxtZ/g43YYl4h4UGTUIDMyNWKgAkhL4AvTkBJCMLAOaiBSO9+Qw
E6dGQ3rRui2uV13BU0uPka6zfbemiqCYhrbk6UU2YpHk3m0epPC8G2offBHQqoJ6WCqAnVEhoRKd
UOh0ttGrVnAGBhuBE1lYnhm6Lz6wKJ3/8KEH4k7PxrwBkUhPuusq+5gqzkLv9O5T1Aa82VQ9R53u
3LoQm7OteE+U2cqDotD9zRJFIHYLIHf51qlpK6SRuj4+G7JbSkX3ntO4wJ0F1XywquaWDmDUg4FV
IAJL8vSCH36heBcbfOElDZDHOrkxcVmH6g7IdcQwF+rAryJ8Ws60rUTkwIRCuXMlf3u2oJSUaPa1
7Jl4lM0YHWACHSp8rLEoox9+peTLIPD7rSRTdeOPqrzkiVUyBR/liSxIDCpmp54l2taXVK/Wwhr0
955C364Psow40UR/jwraZlPl+WJZhN0FoX4gLNZ4b5D4bYWoHjbP6iuManzHXr/rHNegDZeSLhCZ
1hp0hrLQER9e+l5s+e2bb9Jnnrgy282IlyKmXuFrWyix2s1SNDJTi73pIFmdN+A+EMlShbdW/YoJ
x/hUBI0VcGiYqrT+Z2DQMtYFKtae9dbPMLR3YNysd73Jq/WIcuo4Zpm3lyUw6NopCIdAkXXA8kho
qNNVnN0XF2499Z+2kKJ1GxnQz0WcVmwFIOd7RNLpfSxx4ymwp/fz5nyg0f0vt/BI/5xOm3fVTXUy
IOmc57Pm/TgilsGgy+u8Cz1+ereLpda4VOgVAwtIEG+bmuBZovLMbuvkDvEcmXsoIOBrq/lIimOF
eeKUXlZSFnXMhvRGU1U20vC0c1LW49aKLZNbHxb66WI6ZqHwduMXjCXvMLe7mlAPju10w3SbksoM
2SOdBcmTvfU0uJiq1loOMGba+nv23y8W8jy2vVjW3jAi6tKyfVCMqDQ6OAU9Bad3keSXPq7S7yhW
zmi15KO0IuwhoKgOoRPOwWiCQAJd07eN4zVw/3k6hPDOia6UPEsL5dkfVJOGEZIpo6VIh8lAr3gy
g1c8ha5xT6eu6AA+e6NiKYBXm6P9Cr07k/p6X7VL20AfYwq/PCJEbs8dUWDn2nA1QueJDOUp4Cxo
QecrjFT6ujdZSDBLpQ8Od0y1WBa2ZJD0NQ7ZcRpy9KsHQpOvvR4gEaqVbTi5b1HATJceRa+QrhRu
I5QJXW+cu0kdHkweXNUJxUdH9gP0LZtrPIheRn1gxVL4KAloppOxtFBCjMpy7DOKcSSItjhvT4N7
BRPYP5vavRtZv3sJxAUmFDxQBmiLQf85jmTsOnZNIk2W3gvABvfUcvYmUoV9zKfxqKCiO9I0LzZV
jUm703r/7mbJRs8d2OTwVFdK0d7HlrpTXSKR5t2I/dRcFmM+nCNH+wXcf5+LRL8nZa/fiZXTDngW
v51mIjy1OT0vO2kPqQcYO4nGZu9QpMWNV90TP3N2ddnIMxPPfGu3ebr07OzbToOTEKInWA3q1uj0
hKuBNvHy8Whn2pMh6AIkHaiVsndPY2jAncJjstczj4phS5eMVLYlcheCtabeFnGpZ78q+l1JwAHU
m85eY2NH7cVlfXI8cbAIWdl4rYSibWrJaR6gs4bouUv9VKbjm9Jn1YrfgSmgKcwdjbwXFvDatq7C
eJnGTvVidXVHGdvfIRW0L6gxGNz6eYxjDRIQu/7up6hQbSQY6YU3nzYNf0+pjCtXg3Lm7pCv87qI
l03tIdfQRs88GmBx6eErBQYyEKLLKnousUs+5dPgmPQolA7Kh511ytM4QuAvFICcIu/8HWIC4svI
bzoaLkycaChSbvOY0GRde9ucZu8784XQHj4Cl1nYdFG0pQUQmBXCWGDQJAW+OHoIc0OajkXQDkes
7F/dVJLlpzQPDBzFcgh3GoKio6FSV4pty153lZE+SVFcQIhFlwI15VNOagVqQHqPIWoY9HSjvUHE
Hp+Epipr0YJJCNMuuaqsEgT3PJotiW6hfUWafzXiGGBPXkb+qRqqreyT5DofmAebIt3Ct3XlJrJo
NZC/1Id8dKKkU3fMn1kBZrl3CKtSQexb72yfRwXxI78ouHx1QSW3RuF/pbKk1wAGbdVSJF+maoHc
o4zCRVsa5a0zw2FrVkN35B6tQLV2f1PGARHkNFucJyg6B+NXCXQXsgCxqfZA4br0W/uhE43k6tHT
CFT1KVG4PJsG008/bbbFJKdCnD8fZCWxzsxivFt9tiTivX+Q2oqKIpYfWOXM8zh5gwvy78aJ0c+t
Edt6iUonyOzfOHVr4kvM39moPDQfJPHYmMhNzLzcIJXdG3bGVW+k8H8W30akm2c1rU9GWGgH5KUm
xc36q4ivGrmju/lePg8s4xO09pMOwvH5fMdOuY1DAHBq2ItdGmLZgguP08Q05Qv//GZdGZPs1Aut
dRnjk4ksIqsyBQlZQ29uE8MVGsK1YisDwW1Z/0bxASA71TUT94kZmzfir82bGaW/qfC5e2vamvdL
DZoLkUcFfFBOmw+0EVCZJrZL0Lt1wtRBwYMRS4J7UtHdeIvGlmixKlO+TdbnT1zNs3x13fe6/xOJ
0HPk+PKFqqixHUfSatRRbfABuh8AcjkhVL6G0lWe3FEOuyFTmy3xzgArEAwJaIk14MwhPMGqoQxJ
FHCEQyzizjcdyUoethD8a0pD9mscWwF1DYYWIeNOd2lEz5to1TLwWiGwKzdFesu646iaaY9DEpIA
Jtxp+sow2sNbVSTdofLE4FL1IWW5ATa1LOLGWuXQW7FrQlOLCthMVosfYugz6ySD5hrp0r0bUnfu
JvdOama9v1aliiG2dN0Dv4zADD3vmIc8T4laMTx9Kvj9e9bfw/MX/X8P45MFQBmoVJp9luFkfOzN
IpDnNmwD/KJ69iCObMSnUzZ72QAHjOmo7ptgIBxYoout0jI72314ske7f0TlxNUGFpGOwzdRt0fN
9fN7nxjmWfNYSWOe6d5IeM5g4MbhZt6EL6ksAhrxp3mTdCpsiWb7LE2T2b8S0RHki/Qmbfd651G3
QZRz0uL+d5kb+kkbpM5TwRCbgoTyBa0h8tvmnX+Hvycy6SdsbBTl8n9PTAoufTQ2YEoLFbWaQrUc
FZjypvhxReFWxFta2cobvJ/fbQK0cBh75zlmjcg8ToFcTMuucJVgW2VOB5tMjYYFNuD+HBgh8RuD
PM4HMChiDZtP+e9VOgKH/u8Mt5mWTCqIrk6v1Es++hoIyuipM1E72rK3LISJobVvPONuM1/+c8Z8
7rxZaQXxDA4Ykshofg72qF0Rgf4zpEBDmGha6u7vAXU6ZVqyIDOMSFj+9wvovwdnk9Cdv7vmbzSw
sNjZ0w2+S0sT5YsKRtnJy5PmeyYNWIo+82br2uxzeXxR9id0aBidau2hE0eTFIcrM5XdR9Mhg44c
t4fUlyT3vHa+5v1RkVoUqIgAi1G0HCOjK/75p47BvSvqajf/dw0p8cFkRsr/XC/9LTgY9wD/VjnP
Q43q5Uye5N7RZfdn/7wL1LtyLlw5HiiIHTI3Km54r4qbRbblBZbiUvRy5IZlSYCnqWtspIWnd4HA
PDh5aXjKaPHd/n6ZMDWgpe2Q7ebv8mcoKSc6SbWvVW2VykPKWvcFR0iPdKVejnqhkG/Qh4+mAFI/
HaNFr90g8J/nYyM8hWvfyJf5mOrx+2Za8z0fG1REM+pYl4t5s6P5MzAjOmC4HY/pNMyvKP8Za7ST
CWLUfw+EHTr1SY1H4clJ9mNpOGugH+JzSqcJ5Ji9Z4IeXANJfjPvj8arxzTzwwiGl8zT9D1RLMVZ
cVGxhNwCdn2pWst0nw5+99rrw7alN0KFtUDRFelfCdw7tUT8w0+zDlqLmt0eM+cJ4Ac06oEQziE0
IXRQ3H2D80XowvSqm/aFApNtHA6wtauPQi0epus6z6L0nKtDIrpaVdwCLTXfanRnbhG62nWfkW+X
Z2N5YxqG9X2s1GvV7+c9MtErPCB+gz/GIypVAi1j7uk9zJZaNSXE6qaOKIkbP/IvfjKwROt86whO
SttnoWbtAZxQPjNr8i8LazzIrh+hWf37KuxTY1tDHJisNN0VJoV+iCs0oYU7NK+I355d6BnIa9E4
6C/RiKsnsmlpTrO2eaj4GAxkBO9Nr4qO0AGioxx5xkQYO9fIoZyVPSQedvXAYhnp50tU6zulacWj
aEc47gOkXD+3hyXqnKnfnI4nNSFVw4CMdSqJb/Tpw5ZaSXRQ09znASIbdX9Cfmpd3YoBt4+PLNXL
wpbJCrmGwNwhf9BkLV1YeSAoytdUXOin+PuB7D8RxeUpsQfAC+Az96OSfLahmezQ0nQnqK4o0TX1
rVVL9156LIQCJgrIgLuriavy2nqDf6yD9JKSNwHeCwxNNs21+iYoVplkHQxaFxFBnrJUOuSoZtEU
2tWx7qFLLjIwnZuMFHkuUudmOXa5bQQwdw8k5NYJ6SwBLP8MnfHX6Gl3VfYVdSWMIXoYqzjIpbbp
Qbsa05IFPWS1dnHF8lHhwR+m6YkOlL4BpBaDHgGxM8qS8kgmT2PbkgVhfsdje3W8empNYXnGwqXu
nY7aoaCbu/YQxayo1AP/Ijl3T0gK8kLBQrRIdTCzcZbd/CrUyRIwAzwvjbGkUF2+UFIShxRH6UKP
reIF58sFB8+vrGyujQDemWPKXgsNc6ErwiUmiA5pmlYtSwfSEGvb/OwNrXZUPRHdTMC7J981ySez
VO3Tw4pmYOJ9n5QW4BPKcQNnxnojqGUvh9S8Thfaa0dXvglS+WgGP3sdIJumavZSJWP+nPCd5r2K
JTu8//Vh/oqyo1qk4qmdj9VZqqJfRVX259t1TUc3JShpe0zfr+pG9DWJpKY+/TClucV6x+QscPYt
eZwUnqXqXcuUC90JTUJCes+9ootF9TEN1PBOHcjg47x/PncILGhTRfU0n/V3P6/8lYh5g/7nQGq1
a6i2yXne/+dgooE7z8vf1Zjt8I5t8Ork5yCfWB/etGaft/He+FukzehEMLIQkpetdE3q27TAOpdZ
ZUYasP/PwDSsPKhWd5/3j62W/jmY8WSizRQu89S0xWL+gvkUwwU6Fzbaed5l1lSXWGmuijYkxtlu
nykSAGON/X5tYckFVO3nV7VvwCTS2Ku3ZhgfDcJXA6G9anWt7r2hh8mqlvVBN8VdRym7T70pQDNH
GGw1TLwC+l4LwQpgIxQYvno+GTTiCry51nxZjmRWmeIjmerBkAGYK4GXp5uk+P7hTz+iNC/eoLWn
2iu7ybNuc6kT51JFaF1dV9MWd5VG0U4Kfyp3V+KdO6eV3cYqzY51Q5rnKqMTi1i2yTY2WjQ0GY1K
KyL0ByRxWQIXmBRGA2D6s86ftC3Q9lESi7znUHdZ9XQUYOZNLEjFpXC66ZJ5aQYvfPR5R7CEkPem
xmamuEbxnbc3oWbBTnZFARyLNinIu/i5Sd8RJRnPjfucU0Yhg1BdJYb84Qxt/5pW6fqPNnpSNTdK
RRpDWLiLcPgFGTAlVTHrViNrjVNGJuq6DkCTeUQjoMhFrWA7KUsWXrBKUHZG1d98pzoFrabtREWq
ZVAa6AjVvZ/U2gOtXIE3kWBX3fdTIm7VD6Do5pOda+sCoi0EKOvqxdmnZRMj2LmoTrS+S+7CtZM7
BJMFs4h2X09Jf0YKoTXt30lci/e4cgqQfW64drL+iBt3GeWacyilX2+6XgeVi9gZAx0gEBHS95Y9
FOkMwXaLCKnC2/KSM7lajTQ83BwHVdBCpBO8eyv0M+2d+EsakbYP7b2bbtRNn+BDImXSc80vvwFr
LGGs7RtVD9/rpNjSTfafjQ54aK2YP9MhMLZtF4fUQFvvWE2D5ST/DGlA9o9qnZyo8U5jH+u7TCGp
mn43BRCzKE+lo/gkY7bVlrIusRL4OxE3JA2RCmaz0epAP9oh6XRdiZfPEXZ3QHr3O9LCQx9bLLsN
kqlRnLYfTW+/BlldkATb3nOTSR1w1lf4ju2bm/rJPpSoePtMkudG3BnKScWF6whZlXZWdR6iClZC
ixS91gbgQOS0niOjIsglq3dqjC9GTutvVEm09/LI2xoCxy6rZ7mt/aY8KkNwxOZp7CjtoRAcgnVd
ZBrAYn6oqqUPGhgpWhn84jBrlCe/505veEFAscWJmLtFLZAZCruogdZZRgJqG2FWdEndXTtJGW2y
rLcgyPXQ5oIUtZf7gqguIzKkzzdvnaBKYUGRqCvFu0YtsWC8e3sikQjyEPqzMaZcB4rqQ0PDdOHh
3dxVid8tIxVn9GgyXSmK8KROQ9SimVBD5GWti1aTwW0rGA3xQGjHWLOSr3GR8cetM4PpNklSE7sz
6LZKFvHW2DFAA8tqF6aNpXqbKF59UXoxPrPqWbrTUr2I4x9t6Cv7SDdeQijej5xuP2QjvTGj4zSP
jJ3ghf5YjlvJsz7qvNnSFtwW0HKF7iWXeRglU4uwoNPYDGsoXs1NyXP6fhGFdWq2gG9QzeM3UVZp
z+QTJ7C6ASFjn9KB9mZjdN5b+oQH0LpoIPMXkdCwYmjxSg8/rOEtciSphWqVb0Ywwx2dpH0+VoQA
tNo1tvyz6Fx/24ZCXdaJHl/A5IDgbtV92YfpBlTTiekfKn2r2A4EmWwb1/9pM9GHEoYGuaaVueam
n2+acNDxwZg4ZkhRrIIOaTZ98C1llB2TUyHKeN/6WE5dAwWJiy7XJ1TOyA0XECs2+MzYC6Xdm3mG
a6mNkAIkzrsiQvWo6ha3LVRU0HjlqkOmsgxbPnIKXoVN4FEps6o6hbVUqtpBDbtL7JXxNXetF5Xs
2I2RpbsRycWupV4BTw/l/2gGyPIdezNhz3JiUE6tll+CqnGm4MRya9N3RwwvFeJRVADGEcjyymfd
yixCaarfJSHwGCzEpvo/xs5kuXEky6K/khbrRjUcM9oqa8F5EknNUmxgipAC8wzH9PV9AGVlRGV3
tfWGRgwEKQoE3N+799wcpVlZqfhIRk8Fcemt46kc2RUw7xCpvowy1peDl8BD4XteCpv0O6MkeZko
UQjI3p6eib0zpnqk4cbDzqZvucgyv7hYUj9S80DH3T/pfq8ckHLaK4uw35PSGY9CJWbYnqw0tDHO
UzBPjEJDqVW5EqVDsbsh/TdFCbUmeHZQaFL2kfg6BK65kaKrDgMXLourL5ENtlwNWEiWJb8kvVEL
1LEa4QpkU2ztMl7rjERPsRH86Cnfb+y4cI40FLkgG4M55XcVsuLXqhmavQuD1x5HAp4La1m0gb9q
ZWruUwfUZ21F2jYrmF4Plf7m4zg6zgCDQdf23Ddt0AQp+Z7ewAyIAW5SZXTZrbZk3hRHR3cyxag+
bHPrzQqdr007fC9NsL6gnYPEobYeAJqgx0T+ajMlTxShvQotn7wJ/l9knUSv/RifM9UIlgn1xJMm
8UI2VkwDsOkQiZZ0sWVl7fAMo6hpnduSrL5DkHrVpnTSaNcnBMbDjSFWgotUo/iYAbWj1IrgTjE8
+OkStrkmdGLRNOe+ysPyucQ0teykj+ZH6MopD5PXTtq0KFT74oQohmvS6M+lrJGMKgrRYfyylmXj
ZGc7bMBNFTY1DhxlQUj9B10mndsgxZaYamtNYXbmEiTL1RhfYJsQhZKijKHPOdryiao4beisDSAL
NfvW1IPnJNSLEw5AgjMU7vROa5nk+JDeU/nqpJwYc36TNAdz2XY7BIXYYCK7PdvQW+hUmG9dWIzH
EkQ7BM+r4Q8HmVao+QzNAYF97wmoSkRUka7pgwwSnXfqc4drzFi0z3o6WV6UpDt6QwzQR7TOvg5e
Y2BOGlRb5JxWBXJcveuQaUUJX6taJGjuTKpbuHJRS9Sad+pGbt+Enu/RhGuYEYjqRskSS3D1cKtr
Urg9hPgCx0AxEYGJ9gx0QJ9RehPZxHBImVTQu6qlheaKFhq4B9Ry2UEP+2VSwzkTPgqScqR1PoRU
DZrxZA/xnZcTH2RCoVtWRvTs6vfI7pJ1q3cZqLnQPMJDdw91qN6A24+3GS3qS2dHfMt6RXGt9XXI
yG2SUZEmxtAsY29taMG10UrljX7tjRZmzTN4lxiIookBgwI6nS1A85XO1QOkkKWCFyG5AlbtunHi
revzz+OW9ISp1QO2RAO+yaqtYrUXrRmVg1I4W9Ut3FWWJ3SXGAMsgg6QQ64EdMQLhKJN6CmPsVp4
yx5k+F2jCUGMEr5epzDNbU208kgIw8IrYA3HFmN92MXojMzmh2EouF+roCX4SKxTxcH75KOYLQME
1up4oMAAxS6vJIM+B3qnwNCiQHB/jRJx5LJu3Mc4KPAPe6tB1W5CxQS14I707WsaEKJOAex4P0oD
MK2MjAeltMgJ7PryqVQ9XJGtc09IHhf+fm3iMbgndre9uvQ+yjhp7lWtlgyIwH7r0/Q/dc10CwcU
ksE+MmPSRlOF1k+ZLBU7UjdO0o63xUgKZFwGTL6Ayd0C8skuAVS7qsIoOlpms9Nbs78blVwQ5HkD
bY2uoh2D+J+UZst5I6Nee+1rXr/0hF+dCqWHIwkej4aXoJSOTKtUX2WYdycOjFLgB8yQgHblR0Qt
Q6eduaExoC8JCkcs2hsfBWmYi1ZGzoLvpLpN7SzYqC30dcdyrzbXn6euChANuOh+FD18atp4PHET
ahbzYq5EOCh8B/k6gTx6RpSFVXXlxQla90gV/BjUab8DQ5oinLHGR7/WvZ3E6L0cK398rE0asKZK
invzGkyD8pD06LBpoGpkVN9HavWUbqfGOwE3YeoNDyNyJlBXGfD6m6LzUQ0hG9cM/wfTJopCzAd3
dobPtne1bAnwhwwHDFekKGT+nQr0t+kicU4jAn8GqDIQm2q09rGNhKJieB9G9kV4SFBGVC874njb
SzgqVDpaUb0MNHCJHSt/YMNe1r3dfId5IHDijd19HDr1JrQcUu0a39tSxy8W/Lba28whWJNmx1sR
OVda2BbD2P4u0Ev7XpFxciw+jauB/VX6iNncoH/UPAF6nCD5damnwyuOpIUaPgR6kJ+RKMPNRxik
rRMYtX2gEb2NE3vrRNyDqM6LxTgJViRqY88n+RKfJrii4izi6kfo5NY26QWA4cEiwLSy792kfAEe
kdzEWL3vHSOJNmWGxXne2KUKUUaKcZn3Dyi6b1KVcCgq9u7JqWSPok/KlRFlKNendQ0aFlif0zL9
Q/fkRhJ/cGl9n7f+XD8/o9rLzsNYipOAvf3nQeZnimYmG9ANqC11PwMu8c8H989n8zrHyxDrzE8V
8p5qAwzuX3ZRNT0lubr44yiaMMlZprlIKh00o9wr7iNcvyuyJnSDBmjobDRyMT5V2ogGrM0InGrV
m0N10komrxTX6K943nvqMjBcgHR29lmR3deFoMBaJPaNAQlhzQ1NPmgSoQXQy+abDnBGIFTwF+Dc
qK8V0fdgFADCqa1S4uriddOizYmCJN2XHgXdqndHglJATeqIYx9JLCHOxar777UmVp9HqgN1FxeD
AvOSnMnEbMIHu9ApHDDjuym5we/TxKx2Sho2ZDgrdGe8rnqq4SIu+Nlq74mcqpsGn8kmwZ3xgfsV
zxoOeWg0N44NXWzIYLzCTz33mufsFNWyjnZVfDBftFBNjd1Ctrb7rI/RN6ZIVFkt/ZgqGEE8jIeL
vDPV07xIW2TyxuTjzbxoBulXCtfQy42ywkUPD2fgp7wCGSe+acY7IelEClRvDTapVaE03xj2Q9SE
V4UXwN+npeEuoxSdelsnTzX/jts2S/fzkl/UzYVqz+O8FGhNhjjHpw8Ye0zLbDXcMjPhDCseM8z5
B4OUMNxH6JxFVd7DsoARXR9l4cdfMWdy8rVwThkNroQANAF4vLiTtVMf9dz4Vo8eGfDxvqisZqGa
pnPX++PURQbsmVD7v5VtGi7xQbykUS4hpGPegesHYx+jzrrHTsGvzOm3fedw4spcv+U6++FaunbQ
C1JBl54htwGVlfO80ffK5Hb01vPC/FCI14iOynJsbPXRbyu5CHGI21a7czKTCYFnhRsJKuUBdgd1
MK8p9oAMs4e8opCkaSrIymlr75nlOWjBFExL86qMmp/GND7q/A7aQEJlqbSxtvz5ACCVooYX7krS
7xYd/t2bJIAo7VGpoE57bd0aYxPNySW5FPKi//lgGaQ5I1aP1lanSWqZdHfnrUQoMCwyYnv9c938
bCSkk3wWSnTzfkbVb5KJ1urNglZfV+CIWXKtJZ7x6Y0ZoyzeEOlH9GevcAFrscgdLfDBs1Pmcx30
8xunRdQ7r6Mr7TEVllGFE5sWVeQTJCEKpHYRxVlJmfYRPXFyq2rubkRF/FgPjXkH4QBGHtucpO4e
QqR30yYst/KRSm6vR+PDvMbmX6RH0+kxbcqpL6V2n9/O26zGvcRwmi5UohXUmXa/9jJXPZFJCQPN
bRgVTYtUtJ5cN5p6S2IFsEY/kfaTXmZzSWOV6UV3+9dSeuV+XmUN0oBRWBPgW7dI/OadP1eOdEtX
noorYt7TFNl4E45UeKNYu+gK4VKQ+kmYKExxsdppoqvRSKDoomIwM3OW50251LZaVNdgzu1X4WqE
3tjlrRURFDoCRkg75JzzKsdq2zOsmvW8FOFdRC1aGOccBX7Vd8UlDJPmpTxlBBKtUItAK06DCtMR
574zNi80tNcYEZ1jVWntrXERXVzs+i7DdeCo8XNiMPnkryErmOLQIod0kCb4npogUent2cGmrVQP
ERHRTJZP5qCrCnwdseZfQ4WLvpYZqFbRBrq9V+11Bs6A16hCu0V7GHOTU1uvo70xTLmTbvgmyQva
9XDWUGIVqF0p5JNYiBVq9BlKt9nBZjAWp5ayRdQKqwkncl1dG6y0TsMX7TS1s6zrpAU8RfqrRgwY
ZXSxMmVWbH0SxOBKcguiAXcTFaFySOIM/KVV7zIRo9gZ78kqeEVkUm4zyZ0xy43+XGI3WeUDpqrB
0EHGK4R8ktPkR3F1W+voN3LBWLhqjJu0y17ohONLQWJEgGwC81r9SDMD9qlBwkOfqUQbmClBunlr
nhQnfc1SA7i8V3Ur2L31Cu3rougpT9SiR0vTMz62e4NrThPr+7JI1EvhkVMekB00OOGyUPWWqfrQ
3tGG3w1I5RRTvSIFqQjl9kB+F6iLiApCzdPzrsh6bZgYSklmDidDh3b32a/a9wofxi6jO7IZ9H7t
ym4419lt3yD4DzJUt2od3oQWSnpDnXp2uY123jGA1pukarqttLbEA5LVOOmO6AFd4ftVRFqYd1OB
JtN0+pm+tijJusIb5BVnM5fRyiUgo+m4Wyod5QSJq38hhdmdx5bQ7apKbvXcfHDyWrt1Y39ce02G
X0SrIUSjH19WGf5I8two2toPnDjbqOnOWoVEiPkWEhmHQLpO/JhQg7tA9VG1Firt9y7eWrn9Fe9B
smrtcR/nH6jl4D/FQr/PvOwQlrTp5wcm+h50w2b6TxfySDsasrB+N+yUyDdXuhLC6ND9x44B/N6U
5YPNbms3bu2dUovHMiKYuS8y5zRaw4dIFKZrg4f3KnowBMNmJgdvqVuhRiArHP1FISdFN5RFIGgO
NcyidKMlEWbqGgoNfUUGAr3lInTt6nE3hONN3RGojVrgBy1cE0nQQJucghv+em6iOmWLTo/WrkcV
wxzT4Ojbypv0y+GI7ls/O8DjKHOFKUExUbLzQoBZ1GPVSw95Zul2ZN2OJAc53KUvppKV2zwT3wyt
HXC9R4DwO+jSaWKvyEF7HLug2FdaKG85G/rTWFhnD0rctciH73Isv8nsUeMmcZwfWs959Uf7m2oU
96gPQLeFZbxs9E7dBG2dYwsIntIgurGtHqY+MQirENTSgk7MlLfZHS3fSSEfYK0KmPvpNXYWAiP/
eBgzdVzEdSBWnUK1lkYfP6ZoDFAkaPZC1ZobOU7JGES5ESLXk82O28sdbQJr2zUzkiXmZKDWTkee
vFUvTKLJAGrWWAiIzTlEoz8yLUBtGlFNY7jEHRB7QYCOlfoJmErM5o+poUOc9tJnO6S0mhu0f1Ls
FnvM1tEOaY7DhI2rGVXK+JqERCBIgTPIhfZDp9leEoQCmQVIdx9Zm96XXLMUNd/4eFRPXUU8QFZp
h7yk/eUb+k3Q1OHO484C1BjPXBOSfQ3QE/jsOX/x8SmcbAdAX+HED51uq0uY93fBIIN1y78Aj9WK
aMoR7DXNAQqLpFqbLU3ooRrxM/bhgeJysSyijplDbT65oBS/BsXwOFCmW2ma/+BNQmwQb4SCuKMK
Bgbn5Uotwf4qVUQfWetAJ1bxk0rgbyD5dgcsRaF9JQppY6iE1Ohmsafg0jykOjKhKsqIVRxDxNIu
lnkVmncgcP5JvWhgqdRH1VKY+Xtzsiq4YNkY3LYzIJKMtu/kGHzoUgT7qLCfS5ldKBguM9A/V+Sy
xIZJXZAL4QfQnlMsoTBUVS2L93lCWIdFWtdeEDXNGJQgqcgrXmxu+RhJXjQcfAb5D04LoLaM7ZZE
0E49q9NDPd5wX04nFk8EzkxDlCmo7A66SiE/sBYjnLkjqIqjBflrzcSNDGwAxYdxCuPzbHtJK4D7
INcRiME6UCX5xr3lMPc4evKVll3fVXBybYHtCndKJnGSqSnKixAzSq/WNMK8BlrxBBjqC9qeqU5m
a0BD/go7apVFinkKkOVsPCX+UAySNdQhha1LOBIU5WAFVOJhLNIP/jbzYLnug99QGvBznPm0OJ1z
XEKTzk3JWC+2rBfL6CGcifdcFziepL9SoibZWCXXXBJRthlRzoAyRyqqBl3VtkK00+m9c5wf0tA9
dZZdn/jRw43CCHSIUvFYJFp+dlPuYl1NZEE3KLu2Kl/syLsrQnWNIJB+NeM8NA45liwsFHZPMqIA
Uj25QdtF5I7hgVtnsZ5k0RtU7/UjQsF0I6IW3ims+PukDqIlZRkbbxjs0RZDNudZjhGqkqT9mA34
O1o5tX0A+kIgjaOr6N+bHx3hsHzXucIIROd8g5l8SCrqlPgz5bZEknaZ+lIMy1addyBKmLY49r6k
mOacdQgmTUd5PwjK5EOe7mgMrqVjjWutinYCOzDlL1hplkXsieEyMNZsqo4N1N7Q80DCi1cjAKzu
RAXjiZTZYnbHSWa9k7lKenGIG7UxC6LIS6B5usVXrxbMwhqLIamBOOOtcIoHKwbqjpN0EWBO+C6C
CDtWl7/hVlPp3XTx7QBRY8GPtIMBx8P8LCE+GC1ve4/sYFxaZdTxdfXqwbXh7Zrf7Cozj62pGkeq
Mm+GiVOT2fiPxqQNVQh9ByPDXcDdaPGYBT9UbTSIZpEDwG3TPCKn8RbgXJiYVgB2shlPLeE/eWTP
UWR315zcxa2woASVKeJInYtNPGo3snAEHg6ECC05ZtsMy4CqAjVse2bBxvCcG9F9GcfTV4lGKGm1
+NBEEsYRiBAKd2Lg/CzxCpZQuUimWsaBbpyaLmmPaYmOSiZZ/lVP8qtBm31PDcBfewBLjvMD1dXw
GLl1tCPH9xpQWrvHbpjfZ0GzrLBb385LkKOx0EIiWs+LJmchhSrN3KSR3h8Tt+mP8fQMQyWUti68
WEH0jfx5f6MxrEJoM+6Dfgo1jkxtYZWUK/kV0Lu1mBH00oexQvsV3A1E0EWIWoL5+VA9dSfJyfVE
/Jl9FxcT0V6pnlpA9Bd8Ko/zLiAh00NNdW5RJva9PZqHDr7h1aCcfjJlffbq8iYdHHFbq/0B2CW+
88yXr4nrccmmjxLmaXVMg4L247TeLBQa7xCKLpTx75OeDnmj2eU6lBKtqyrMq9+U5lUhdERU2as+
bIEjDc+U4o0bIkLw4hWVs80l2ps8IT470mgfho2mYIyt4otlU9PGX0bMaZdeMs0Zz2nY+g+GS/vA
ijtno/JLS4DT2bUKnbAZ5BnDCdE1Vdd+gyAJsLjuqLjZPcF+JM14gy12sMre3Twab3pn/JqppvEQ
TePTivJ0WLt+i9SNQFQ7Vq5FRfZnqoOvdBR+JWk7BBu3MdGLZdFDX7g4pJOy2Wu9HT7Qnwp3hSjd
5bzVcD3rIlGnzRurtA0fBkbsLlO7M+yegq6p4fD76K4SEdaHRbpEpFJ1UxWgF1Sq72H/G0s/oLVX
2+G9rurVShkCkkjy4T7lkg0oJVH3rSvJdSHDC4bkIyiw+kZ3CKSkrh/DeqHTU0CfWTSOS4cW+l9L
xwyku7Eeou/j4HNfci3tnbzGjIH3uz2gEgrC+KRRy98nJSkbowUs085amrrA60+Y127HxgR1JYnt
dnWGZEZ1U3g918C+uHrCcDZYnbWFG4ExISadeC2lw6Jb9DedSbTMvCjdjAgGG4OQLR13AQ/KvY0t
jCfoX2P820QXly41aj/RxRuCUMKqUdO4Ki0VU/efmB3QbNWwKuPVME8SM/KaspT/HGfRUyGy4iOx
yfXTLwJQBVIOO7zoE3xvfkbxBkcVtMntz3WlzvAxq6q7jrBJYsOFD2ij1Z/rHDJXG77Qz+pOSHsU
0MkstqMTruke6KhQWNSz7lxETX43poZ624fiNsnEV9t3OwypIGsQ6xIg12fObdFhUZmWasMrjmaf
4wyqioPI8XgvClo2ByiGGtWpv6x1G40cn3mH2nCKw7z9f+xKOQP7wi97BXwepPW8w7xSiLrNdz+X
fzmKpk6ZyTLb/Tz8/JLP180fb9573pwJVZ1Kv//8IJjY5B+frpr+BqSVvO9fX//56eYd/F6KcTk/
HX8e+5dv4fPp/I6fB5/f7PMIhFTw4vnovzz9+Wl+effPP5Cbkzz+/PSf2+flX/66z2P/PMovX+68
1+fHmD/yvPzLu8wrP1//+bmjcBpt0kFbtrhpCGSnEnloBx35RTD2zaFqegP/PjM1SKnKOXfzBnAd
G3xkUijHBp7Oy/MWSJwKVyxjqSQ9Gd1gsjd0W8nocJRuy48vJMe5JpzYpzMXO/YVs+CHTvLAFo8q
pGBMdV8tzuXFhNIPNW+P8sBYQ+nCU60H6R3qmFPk4MvRR7LKIyPYWU1MOrxmMcQyg3fNEkCrRRJu
tJFGGzrttYTGcaA3ZwDnMa1DFgSE+lEPXeo28LZRQ7WQWWa5TuvnpHToPzNROUzJ24iqTkWWoGep
UlQwJmAPy8RUNviPiZHZuGKw7zFAXNthyFhXYVDcLc06BcCe+eFm0iigmsEBqu5xgT6Zo6MylynM
RYWgo0zN7CqirF+ROnTpa7e/8UtpXvzsFseEtiYVGkqC1KutmboBuGnwPHHFwEyEmkmbG2CrY9LP
rCxN34qyw3FntMkuqjNMZw51bK4rtP/Det0Jb0T0BAm/qzJgqM/cw9WDbhIBpBbDhWCFZ1MpVYbV
arYjvswnVOTBN9tqpan2jZ6Y47pnpv3iheJM5Iff58F+xJNOMUnBxyjKD7ORTA+MqnwIHFC2CMdN
P9R36FPSpYMCD7AASRZ68SNPgnVg+MFeJIgpnNEZd43rX0m4Y5yZomCR75ooQYF2+lahPrSKw7bf
1TGlVCcBBmFrQb73O5J2MB9F67w1XnM/wdiJuvERMfOzGgxLX03z7wYI06WDb49oCS63ZV+Z9373
joHPXzWmPWyMGglbR55q6UKThPxL6w5sZhQFxa7So2zdMWBhkukuZAm7rBLZE4ofKJGa9u6LEERw
3UJ9M6K3NKj53gjZXuRt9hV93r7wUcG6thEty8yxlrBEQSOO4p198mNaO/dNE7ScS2q07FQ/X6tJ
jOQQeHWeAfOVOoWpkWboEidntQa2i+b7hkSii/QzkrqKtFtmUQRIwAfrPib5viYebifAHx8zxgSW
S/AaRmBuo6GyLfIqmozuTNRcD6BlCbxPl8iiOmMf8b2GE42gT23CJwSg75L8JEmq3CKcYvE0hON4
stHuacSUDc7YoQpr/WUE2fdQa+j6TVcyJ8PnEDdRdjeGvUNqKQFIXa+8QOFEhlYYVE8Gfyf7HAtn
S/uYzCKASP4J5AijOlxsFWoNGgqlsi35l135GsUprox9Z2fFDmE00dJ1RWpb3D5LywY85u3UILfP
WcD8kBokza1Sr46Rme3rWj6Y4HXWWkbujJ8nZ/qSBE4rz5nWy1WibFMlQGuL3R2jpzre+7BxOOAP
IxRvDFfie6IfjLWk9jZ10azjQEOo7JC/qKorN1IGE2v86HPNC6WT0L4N7MfYEVv8yM5tZ0r7MUvr
tZ7yRbQVzCpwwvcS6evZJPEHk1R+ESill5QvgSB3FPSLKijXUtT71FbMW8cPJa5yFCeIMFb4CSnb
WLLbketHpHjVIJTpCEfMy7eBKydVUNLE4SkGCxJp8q3O/HlZGIoKYY+DIhgIM1k8D/jy8dHDM8hb
7Ss1CftqtzRMUuVY0NW/xdHsSThCgwrkUIzmWZYWqKC+OrdySkDlBCaOzHhXuHinZXXifLSJYJko
huGTlcroTu2wFFtW52yVEguzR/12q8XthQu7+k3tIF3mFJd0ogbXemNpKPWYSjFV/HBUB7fAYMPs
YzxGsGRyxR0PRlzIdKXn2ofC9HGBSNyuW9oAsfaC+NukUvMo8oleqNDtHmDMFPajr9JGALoHk7fk
bLOKld36/AQpLyljEl963JMVFZhLLjjTXKNWl/AEQyLqHytT26hwWrcRvUVb6XUUdjqE+QCGkeNr
Z+JD9J1X79KWUECRWh++xd3FtOkilEUkVxAOmT4IAKL9Wa9rY20FoaRsXrxwnzHITG6MDa5SMobR
PesQDT1NJNxglr5F8b9BKoAyxgHY6QGCsprX0CGCEzr0Bi2jswy0eOM1Y7m0m/rVQ7RK/4Ieaz8u
8ekrd2rB9TYgaclBzGAG/MoCH7Q/GrFmYTL6PvhmXR7inqtZrWEggRbqFFVx1OFz+HXUIx7JSfTC
q0U1sj4XwkRxqlPoA7APk8gHQByFLncCw6TVoXdHbrb42bK225N+JNDs4VqlJhQsjdCxD0oe5ruq
qp/oFSOLBNfKry1P9qr8UcBLnuysvhM8BAZjBOI1yTV1ckHOgQfBoS/WdV1oJ4vahO6TncI0iRlE
U2anxje+2jijVEeSERzVMNui7Am2pLlgALNH19zxNwY3LiDbIwNxAtcIZljBdHZQWuu8BlBdPKRQ
eav6XiWPYefAseDU4MpiMVFduCaWI2QZRHIBUZg0Jnab5ctOwSPYM4VErFXrx2Qk58hVLwn6xJcp
PwZFOj1iaFpP8P/QUJNth6U/PZhpfhRaJO966Z7QNOlH1yDED8DhQDwDSZ4R6lgnpp8RdCQ/tpb0
j2MdY8hM8DjiYr7oaQB6ucnShZf2RL0h+wATBLCJnvyqpxO/fhl6O1rikwCDFus3IWT0XSqVrwaC
W35ek8G0iimteWtRVDjBJt3kEGGwc3DAi8rfZgrAqjackpbG4BzH0QnCcHClKz1FbQ/Yo6xG2zEE
qLBi5/0V2c54lJl+0jybebAt7poeFJ7Bj2jdYsgYJT/uotG/gheGmscIvYgBdzdGRLXzSSOJakcp
xUMQnJEDkQAz62r3pqNyFfmIf7nlHpW4M7ZezO8jkKl/jgMNDLCa72yXDGXMPsciIGAwQqHLKRLj
Zw13oe/UB84DyHgXjSv7pjEyjH6U4Y9WCycNSDEtu7hGZUUQdVNob3Cr2i2C5ZrO5j5/G3rXfani
8AeJ4eVSRZi5iDvAhczx6mOtkotrU7Ppqo7uSm7swKrJk51W3aYaxLvvZs4B1jBSzUSuU7hcJyXC
oMdJEK9prPBrb0riWSaBO2cQA1IH2mkHlYRg5oqY7uaHFiKP7FUVIDLacqe6ethRmwxzeNdcXdNX
7wREjL0KkoGASO5APglInixK9IrWTkjYOkzfyI/uXchd7F4Xz2Hr1OdBL72TK8qFn8FcHy101YkY
A8ihinVbawgPjYouI5Yj63Z+gEOpbAwTsWyXkDgbJ+ZtqHfmbUmdFkVjEW+i0jFvPzdY/veEcXxh
pBntAlxsCs06tbf3nso0OVMd5UT/boUFa1W2fvwW9u+4KB8GvDVPnY4y1tGylnQ8Ua5qoRDGWEfN
0vGd7gBzNdskH5bHuMXQTXWdVRaCYnX4iqK0fOQr8a+MrW5iQZaF5PJN8gC1w6bxklVVFB+KLOVK
d7p1qDfrUVGTfVu7UNAtALq6GblnUjSsPXJtAXNIQ8WOhdUk6A2baNmeXaLJmbjLsxpVEoIjLQtn
sNYIImlWCTJyvbY8VoRP7DPpJvRKdQZjbXAagpi2td7Wu1leggNHIgmn+zykSDgRXsuTRieDU877
kFBjuMHYJfNPHjAOJis0nosBehhNwqI5lGjjwdO4O07aeGcqaLsNWBFrKy4lWmbrVWUHW8tQiAT3
X377z3/8/T+/9//lf+TXPBn8PKv/8XeWv+fFUIU+7ZZ/XfzHA37BPJ1f8+c+f9nlhtykvM5/NP/n
XtuP/PyWftR/3Wn6NH8emXf/49Ot3pq3f1mY/JLNcCs/quHugwDzZv4U/B3Tnv/fjb99zEd5GIqP
37+8vUNtmJtv4ffmyx+b9u+/fzE01bXmr+rzm5re4Y/N05/w+5ezzN5a+b+95uOtbn7/oljib1MC
p3AdW1cN7JTml9+6j3mT0NS/IfATliNMQbCLYX/5jUFoE/z+xdH/JnSSWCxbhQMiTEv78hvGi2mT
Kf7mki1jqIziNFUIW/vyz7//X/6PP/+vv2UyvebodOvfv2iGcL/8Vnz+w+e/0HaFbRiWivhdmIam
2fy9xfe3O/xo7C/+IypzUZl+rN+nMNoXg/RgO0jNRFo5Xcd0s/vjgVqQby5pajtIX6ad5k3z8s+d
up9bKi5H6NGLDOEnkH61IthgnPxFRmwQkDQ9/GXx/16HgiWityzc9b89wP/jeP/2s/xvb66mo7Wr
VX1ryio+1m48Kc1cbRoTTisS14r3gqD2ebMGe+CIivTPfT73n7fNu3++ct5tfvhciWWgcrsAUbau
X9OCxIzeomkpbQNddU/e+U4rgRrPm7umXydRFt2KaoeVz7svbCke3Fp9qgsuh0Ztiwd4ms0ykQ0M
6mljaoGzHvOe3GSQAAuzKeOTZY/xCVOZu5I2UcD/9lvzaQuVC8wI7QLICPKzLIlJGPnX/+HP7+1z
95/L8wvVaoLgD+oL2Jjobn6ISQOBYqRGgEz/uc4OrOdBG2yIf6xKdTFcnTpZzEsJHYA7Py3b/SBp
8GRu2EG6sd9/vtP87OfD/Al9qu00I/qnrjeSo+qKamWWvr2oxzI9zuvMesR2OD9FKMPTikT7Y1K0
BJc201NnXvvXp/Ny4BGeNAhzOS/1hSIQuE2vmQ83P5vf6PNoNnHmfaN41/yp7LMCl34dXlCZfNTT
kmJVzi4Ds7JysqMSlOqR+zIjEaNPItqMuYWLAUfJbvTs/efiL1saRUZ4vJzJ6DU91MEKGEBMxZSl
z+Pw/d2N3lDcMPUg1SSR3qYGVfpYFq7YhF3ZrnXUMY99aRc7oglwrk9bozZKDqLsuZ1NW1FWpCjE
R2jO09aw0CQa4ex5XvIpSV2jvkRWz7bUrvM7j8BbIUBHYtexKcdxPXGIvqanN4Yu/cVwzOBCVy64
wJGn1bT28+kv+/716f/Ydz7CvJc25fvSbrFxSXMo1aj2uO1gwuSaQc5ybSB75lk3PczP5gfAqSn5
lHGzSRTlj/2yLsVZ9/MlqoNegXrEvMdfDhdGcKG4RXNQw2iCDbzW+nPH+fUqs1GGBdnzSPyiWdft
O3NtLpw0xO9t3ei2EbWovSYN/9YO0gAhU9W9KxfFEKhkXD+hnNRr10yNuj2TopKKjcpECfMnc4UM
WF/eiBOUMD96MyuCa2kfEeRhUtzOAWqs9LYVpzH5b77Oa7ttZOu6T4QxkAu4ZY6iRCVLNxiy20bO
GU//TxS7mz7+zn9uMFBVIG1JJMLea83lqHwqyDBu0mxcI9XAk5KY6QehBtxEzBwVlOA8aWTWKUSN
D1XZNk6ACdtDGSFPRW0YP9qjyFaFL6L3Okh+AZlSFzRjvb093/sMMN03LumgGPoYprP7XO5lpv5Y
g8d5CCuINIgw/aWoMbaSe9S98DgPo0mN5gYjq31a8yUt/Z4OFquojMenODRWcnHgWf9lVqjrKWlR
RkmqwwwLW5t6tCP9a/yMUJvkjj69Z1Pk7/MG7gPq7JcB79ECkUGzpnNuf9DK5sNhpz+EmZO+ZAzK
pYq04sibXmrTIn+Yp/h8Uc6htXLTeb22zAawd4qHGUzOGUqQ3PasiWgAaoVL+r44CcQUhUejWvNg
h6BBzd4mvXafK9o5m9ZCYap1tv6a4+25DcfYdZHEutU21i19Jzpu9WAPgLEchsD4P2N3XtcFXhLH
VxA1zSpPuYE3qGIi9fx9Z/jnATbaPtVVajWuUFc4PckmnjfK2J0a3P0HOTJSN171pp8MTybSSazG
c0aIC8Dh6McEaSR8QAhp+WcY8YuB7BdwGRIxZZqSB3FY581V2FZ9jSiYLbn0+Ds5lAt+cJ0CvXyS
M9Z86k5M8KlUg8cFXhhcPIDNDKp/wtukRGPwYFHD9xyDvzcCJROFCYUI++8j2MJnWa+d8DgsESAm
EI+JKVQbKg7wf3xy44uU8v1HNIAl5S9PVNjMQqzzsQaUPe9aKCiPwoYnN49kfpzck5sQKPEqmpEh
TclXIa8RCYP6QNyiBvBv5TiyU+DRU7qTh8hVwDyspvPRKSHBS6+MgrUa9J990ntHfiD1SgyEdvIa
8QKWbgJVFSN48Yw02g66O2yCuZSS0o06J4YHt49sKBQTxkGO7ptoXgyr2jqiOscbyEhuIG+qI2no
vN6LchURh/0ztcj4ABH0wyxbcEqGGuMbnerDaEEJLBvuAKbJj/HaimFBhWcW6QJNRUkGdHdMg0e5
F865fbWDJu0+Z488xuolPoP5MN8e9CW0lWJ1O6nLU/DtzH4/0/959u7440NwGPaRPOXX6ktj9tH0
hqvvu/xupZmoKepSvVKyf76Ixn33/v0buXCgym2sZTXTiGw4YgdTCU9ydN8kJKdPi3wKzlOfePvO
HrlxcrkskFtMoo2DcvOsFTbBA2YxvZux+myVVfuTGv+2DO3hE6+cWKJ31S5EJfV7ONlb3QIYoSNY
OZVagqcJcj/bsM+HOWPd4j5tRi7KAzI4r/Sxk5B8p7Q/FKCuV2bfah+KmfzlkD+7Tc2QL33Vjtvc
4qNe+3pD6gagtm04Z2VJCbSURtdWLLYUCYIlp5/8wbBRk411d+HxZe/GufFcukJ/Dlrzlxu54Qnk
y5c+Zojr0tLZRJra75VSE0+2QHKBLgVPiJZvG6JlP8Y06tdFX6FoNJr2Yim4DGv7MupG9mjlpKr5
BkFugOmzR8xc+aPcC9FKd2H1LP9pkiVDkDEeVFqt4z+h1ObedQFb3P9jtfeeKaq30cbYnO3UhbEq
CnFtPLvahyM/0CSq/EHuyU3biGcYCfltMdYLH5fSfEhqcn/bKPFtQR6bFB6r4MVfVbqfW+iMXrNP
w0p7gp1PIaoj3wqhu/E+BocUfcpLnyUP2LbM5Vh29cvEXePD4LWPgRPWdKvYeCV9grj5SICsbicP
3EPTp+6LokUGaQkTCZBYeJZuPihrIiDh2mNWOOADaA95JnIKBfOu0PqQz/F9Vh4gD72t//tKirk2
mClDsValTdSpMyj5S2+GCw3J7usQaN41AiIrR1QR1CeBq8BMwTvyIN8AnhrsS+Oi6U9n7lJqX/TC
4Q847wGdjnaxwuc9mo+Sh8o96vqzqr1NN38sFJOy1eK2X0+oQaF+q8NjkyrDo1Yl4ZpMeH0l50Yk
pGTh2it9sgDv69EPlXv6TZFm9hFSiX1E+4Q8at4AI9A2hGK0wMDos05OPz6XtWuthaWk50nNA8qC
TbqrcnW8oNNDaBaUXPappdVESeWUacf+jNdw3rdajHkxDBm3dcS1jWhy5oGmfzWdv7Mt3/xVIUy1
Hfo1fqzF+jKmoXXhl578oJa2m4IcBI/rG684iyDqTD1ih/TZmQpxahqf/NEoNdZjmAfXoHH8a1KU
IR90bTjE5EwRKlVfhkgJnuRimJvhaVSK19vagEZyA42blE4X4uuAXmZhzCk2CthXYyYgy01A9g1l
33aLvGdpcjXYl7QlfAXsg9zI9LT7UO71VuDdVjPqOh4B2rsSwd9Z0356ajucot4zyOdQjbOclsOw
6/ttAPEKFA8LQFj7Jfohi9CBsOcawNPcjrzrdqmh6MPr04pDm9cq/uw2eEYEeBTpsFU77BdAuezn
uByhj5ItdpS6N7lJLRwzPKgVBxOgJ7c3sHyV0jXeLZ8gDXRo/RkGj/FO4dM2jep9VNoQrUBXcs5s
49dklFgQc/J/wcKtnj3uuleJxf2QHAaG7Z7HLIQsplbPciptqFj2qWkf4topn+nMuHtAgw2q6AfU
r+6L6KfpYvfhbVQ0YfpS+Du5JDeRn+1GaGqPk+jdlwmECuTj3DzRbX7tNVM81FU8c4OM90lTOgwN
HuCEeaiMFPsKu5ifq9NpGbtJtUXmnH8q7TJvfOuzMjQB5pM6ahko7jfN5iQBSPsTqxfwKiv/Ah/8
budNdGqbsLlmSQHEwlcPNL2bK4kBO0cpcj7B9A8LgOaLKunGT26YsqWAWw+lnwVnQEZQtgLrMXds
1hCH2M4pjR9D059W6Opdbs4YyjlPpH/vybn7UO4R0Y7OuMPV11ikFs6FTZgs7YPjZNPOVKevwtef
c7+xTrgW6ksaVb8wv02ATHTa9mEcvuZkEUeF8i56u34M1Hp88VV7leqD8V5AujhGIaG7Ex8bfW/T
sMqhpu98CwXwKjaUcmfVLSV9oYckdtvFOaS97MJV+IzKYuuSxfrm0p7fB35HXOo8D893A9SpexuM
xtngyt5WemltxeSb6G2JTUBY112HLDDxj6V4geMeS6rF03lsty/2lHYvZKKeBofMXzmVdbQToJXg
mXCJsCUAlaf/khwMTynfOhTMoBPpHcipZp4P9Pw2X4zdszDpdVizArTU+t83cq7FbLcJLLfAmZPU
F+JQaRL13V84flfGWKFczRyasrmvnAaP5OmhrS/gO0hBCfhmD+AHOpUHJcSxMPJ25IVpH6XjtCvF
t72zIshjg1SmrPPcJjOk4ufwi74Pl0PsLvUOwhVopumpN8LgqaNH5HPFkDNRX2rLqhY6xAK+A2AI
sWuP8SITornIKU/1XW4AjS/PqNuDHMn5jOoG7kCzByPMEXIuKUMe+txMXdpDoipI/+rhoArz83bI
/OZBnw2XlML2RCGLvma46UgUPhMxEp1VTC5nOWzmuZES5CJprXJzX/C7oOkxmrMsJ0FInMo8rPb3
Q+TeH++H/1KY/u290ZFqKzKAaWB0hvGg5sliSHRtDjXmkwjxJl8H0Ck36GuKreJj1ymC+Af2XzTC
88hpouFB7iXZoJ/H8Daw1FZb51oDmGQ+XU5t+VOYoXGsZi4AF4Lp4DooNrQ+SfKlnTY/rXlVHvvb
qjzxjnr2Mw/oIv6xWsH+OrXx+I2rXv7oA/UwEZ1cO+ov1ziDKwjqq7nNyQXQVMZi1Kp4L4fDfFy1
tgY3vb2mHsE2xOiMo2VBcMExm39HY5hFpLxrYXBGxu6DehDv8EmcbY/5BgISgPShtYyz3MRVoYwL
J4kfSAUakU/+s4BGzDink98f/B6F+pOCpkF5RsnHU3dqweaaZpj3bZckD+sox5LwfZuM+J7jt17K
Ra3D5pLXCChzog8IGg3SN7k3/bvnB2ryhsrns+V+u4ZXlH72vdq81h5hpX/s5Qa/ps7ImlcLyuV/
XVWxW7/K43KfmDkDQNYCnlTQFvxqdPo4ljhOoxs9uJQN1iXIi5d4js4InXL4XivZtjN79Op61a4T
YX0PcjN7kJucBLCFKXzkFkhddvgMo7U+DztkGJpDVydXS/MhKTU84jbZC6rWk+w2/BXO8vbQtQee
F7W/D4AYbq4K+uxHn1MxujI8QCZqkce4DMVhcnxjHede+AFFgsxZTjJpZ/FAUX7SjC4/EdN/izQQ
CJ4GrhL7A/IQQnHFMEA96vpValbWTzNRnwr61l+FZ6AZ81r9vTPIVA4JGHjRxppUYXQeoPPcuRNt
rPJCKB+2sLWN7nYwzuOGYfxgBJP4Zg9+uG8FzvXeV7yPgsyB3orVl6BMxbHnLwXUxVRXzpj3+wbe
9zIjVPdgwnN7ZxWmi9c96YhnX5p4XAqemhZ5NfGpD4r8HHtjfm4h+EFO58y2FibIUzmp1GECaXg+
yA+KTVON40GO1E4nijwn50SjG0LZhdxWDPLiMWoy55HQ6nSrtBpuKatqFWhGJcHuhcEdrm8+tr+m
mocbtU3iN/gldNeNRBy01ozeHCOb/2Noa+Uwz80fWgxWT45EUD26AHsf5Wgcou2U9sVVjhqAaJWp
kEYcNu1rNW7kbKIO6bPpIymb/y1o/uETRmNSW/inWpghS+gs0wrpCOIMmrZfCZlgZq27r5XtWLtx
UMYNPLngs9Y/5DoqgGzdWcZ0MOBMP+tJ9engm/nqDdvA5NQbl2JMu7N8w7yvnnn6IIDEgou/SEgE
WOtRVCG58WOxqGLPvATKSAOmb62dW1su3fgi2MRDWj812Blp3JMfZNtVTwScRRu1EUCSzvFAzKtE
Nmt9Ho+LolbmKG/RL36bNP+lOSsxBodAc5/jHDryOMNH1Xnj+UX1oDuwmV2MWgs5R04xeuYgKLa6
kc+TVoq0Jbbf5KrcjJVLdtGc762HXn5CPhbvAi95NMbs75BPOa8SNt0AOOUQfmUFXIJ5nGnOZjI4
190XNLtrkBOWYmnObbBhrnX0GA+Tx6m0V61i27s4DxtvbXfxMjCtbt/0mMnlhjICtvJ5c5/DOIPi
5D4pj7kvy4X7nKGmdGwKTET3uT9ea7SQty3bAC0Sm722KBuzPUGBWCpjWD9UWEFmGUhdPziGSPa5
X73ejqsKA27cfAznsm5DyB/BN/LoeD5arujRVEDd5ZnCoJS7CLwmfXXpqJCx4OPJkcM+yx8ir/wm
R0HWO4/+HIUyrwVjYkEw+cqzgME8kxA1IPpifJYja/IPfUS5W47yUf2op/59TJHrRLPaCCysi3Qg
JJukrCZ0M2HdE3YwL903U2Ete+gsqHIQ92kGJkwFUKe50IHiz8JZbWFoNNvuG1Co3ckVyND+nfcL
8fcRiBmOg6EHR7l4n7faoli6MXdhcgGxSHjWdRfRDRmyj0GmGY8JmSmb2uWiE89zcsHTA1A42G8m
cHrbNhL9dkT4csLVmZ9w0mBFkWMDXaPSWOVtVU7Zc5qK7gO0Ingv/6V6gNhiD1Z8z6MKjDrMozuX
PxOIfUyvK2F8klfFYy0nUdgd7bCWw8TNxcmIJ1QuThRvcCKb5YqUUNKcRfIsDzFBCa8omHCC0glx
4nHbQbUNZzfAxODP13cykx9jSKRPVQloAfrURY4CxRzPnVcf5SicD4hNKjLpgJaBtBI5zQ/lPRkG
+rDWrt21nJObFkcmhkpMaW4YKk+14n76fWDtCyUb6YIUFqrl+Qe9j7M5FS1X6p8lcvQTsgfzpFkO
3ZgpGqdDD2dGUzQ8dUDCWJG78sh8Phxn3dEH8n0QZolyjCZ9/NCZxBsPpPe4SvwgZ7TUJXdlRDZX
zclrYPNozdUqPTADEvcqwmW2DEn02Bn4eRB2FC4+JhxUBbnFZ0uvlSvK9XqvmaSgpxY+NLsOzIMa
FYQ3JsqLDoqFxkewonheXuWUFeZvqq5xrpvX8ogKYgcr6yCHVuYTzGLFCsmKrLYG4sBS5+knCrlK
Uwh99RvMYIkaiJOr8E4NvsKUote3jrvZPap3a1U1Qv9W86ldDGWXPQxW271YprqV802C7tAV+NPl
q2yDTNva8/ULIl37KobuQR5WwePYjhTNNnKYF9a7R5flqcnQqruO/m6OubdL1SZfd2ZCjSnDIuWl
lv+BI5jSJsU04s/yc0juJEo25okIw+Deh90Rb2ZyaPKpWNoeilwFaRDP7LbxKDeu7itrcmiC1X0O
d761HQ2M4poG5tlIPNTLRnyAFqGSL+iUT4Vwm2WT1tOnQjwZvY76V4zhA85U/pUQ+oC1r2ufnGhJ
qQTHpj2VG3IUo6/2PWr06isXcbTR6YDsawBmr0TnnDwsC1+BbduYjYRzqt2PGiWQEo4gGQkWfAn5
q55iPSDmfR4qo6ldq4KO7jyyoJitMEJmGyMeLw2/jx+BhUHXySqTT4GWwrcisgWAn/MUEcY2+rHn
fkv96Rc29uQ6l71RKqKJcxTLfPbJflhQQYv+GtpyV6BBeHVje2nOZzO5qUqXK2Sr9Fi6/5kL5jOc
3qXOKdSd344lg26XO5q+KRVuc/XQPwy+UD+QOJQoT5Nw5xOd8qHQZCF60313YMxvYgVN3hiF63jq
x0/q5/iuQu3VBzl4uM+jRd1H8zzRW7/Pz8ePhci3qRr6Wy/nhju0XUKB/bZfurWWvnYpVvEGe/1r
mhc0MVDyvQakyy1tajav+NHpO+ax8kqHLl26Sh2/sRgv7a4v3waFLhnlSxAa42edcT8eANR61M3a
f9CjAudy6JHbwl8fXBNAZb7lh8YrtYtudi2dv6bd5oQl7qA0rsc6qMnbhffelXn93eMObOH1nDZ6
i+RCNficFJ8zr9K6ZATTvKJ2SBE9eqlUR3+dR1WkgksYMnouUdgcUBD/Rb0fgFHt/IgyyqK+7ad7
OjbmplNq653UnV2qDfExgLetHVWHNlnZkw4Ib7AlgOEqB9gplA031NFKDt3RNa50ok9116k/W3oT
k99qP3y//EYUaXFK5otRrVVcparpERMM2Zq9XRxNM37h36+f+nbEvolbY+sPprroO8LV8sKFwWxO
cFanEpmy6VYrEnERfs4bu1cp6sndIhX7JjLyg5+KtUq55amJc+vJ54bhQL/wJ0L0CCxtiBM0B5S6
7LsXcmtLbmyhCaaYW591XYt2Y49vBjphgAk2LS89p48upSFi22ax8TILKV/ukaFJgha3iAv+fRCf
M0KmB4XyJOe4Hojd4GGVywhoJxFh9jIngbpsrW5ncMri/JTG58oteYBALfUSj1wr4hh+tjXMWUBU
Ak3XwQA50eHWNaR/Cs9K//kNMhFVbf2QKJ7fFro3rCEhF3ydlFGbTk05cs9ETHxCcgIn3Y0o9U89
Fgaubww4alA06go+QEMWJOEum3hhKNUPBZovADjS0uhJrB2uyTHvutamrlkIs7vYcfTV5IZNLA6o
A0MnZz4ZvibuXMm5al4zvNjUS98793tP9miGFTRMARTYCZkVyWSvqGv+8ruw3GGQ/8atO459twd4
MgVICdMMu0S+i3iWqvIjhYqVnYnLWMwPnnX5UzOoQw08p3telS8sL3xOK9iLP7xAb6BV9hvFbJ/H
JjupEZBzHL1EECr+4xg2XKCmDyJZwXF1z0mLIid1t7km0n2T/qKm/y6hrQVlfS12o5NukqJj8R4x
Qb9uHBIwVSoPiJwKQsdoRrfiKeyDLxl13ZWjvzV0E0c8+TSCxO0qPCvUJXYCiSzoXHc81YEH34DK
fCRacnJmNX4VAVOPdzz2eUvDdd/Jzt6HwFkWTls1m3DAh6OF1lONXBlFL27KDMsE4YRcMvBbDTFp
NcGyMLS944TeKg1ICBFNueIGLh1sCk0RtTxdx+eJZCNE1t446uPQ59sRnXtJ4QNXmnXu3nUn/nQ0
A36qCpVL7Qn/hMNScYp1jL+Q865xhgRIGYKvNBrXzTgtiNq+ctf3mPr2Lyonh85Rv9A9LOn+7Mjj
+ms0u02Pr2Hl6cULn11rVVTAW5WuOkFxeI3y9EzC7G7Q06s/SXxd+JVNMbfPMTziGYBTWtnPsVXq
XRO90oT5iLr60wz+Cif0EFaouti1lMs0FsfItH/qCqndvXhrh2mBfP8S/NJ8rmkVbf/lODk7x26W
KYakhdeVe2xk18rJ3gy35RQcK3ySHJ1EZp9Pb4q2wCNoZpGiWIVqzdeC92tnIoA3KdMT5ekS+/mR
lJVpL+oowxprskmx3qmReUlDcBlaQbqYnUEnxbVvvWpwXpuu8p6DvLVea+tztJzqBcia9doIQvVq
+zawZnrchKl1fpG3dOdWUYLw/zUl3H0+Oox75aXmgWYeeC0x171zeykhdOELOQekEwjrFcWe9mzW
Nh8T3gkST/7sZH//Z0IwgGd4Nh71iRqRZQ7EMp43cqjHXIgWctey3Q4UjQrkqVe5bcmAFoTukN7G
3TzpOWKvKA6P8P5w6jLgAoXjPqhJ9vemMsgGc4T+yxy6bidH90USy5tN3PEFuM/J10e9Wz307UZO
yxcV8/tMc91qmIJr04SoxSbzuSGb6nsxAVSsOwIEJkXE5AvmqAx99zxo3OBjjwSVElruRQXSets0
IxXmMdH52QQ5kVFdhmcffjDGpDKljACqsvINcXsZZnyOwaH5zSaTGS/6QOELNqKBzB+arXyJGltI
2FzS1oEcuJfbMeB331JXzw/3fx2ZZX0yk2l3e1mmE2qgxtMmFdNPFS5FoGbJqZ+j7ef4FwCtJp3T
+1guy42oyHFxrGp/n5KHNX7KK+5vIxKqrmmU0uGbL56gQFNnXzd8mtSeAMa20Uuyg+elOrCEtmnn
pWDK6Hrg3WxQLoyY2JrMncN1xsbbhKLBdmPl0K404Ol9abVY/uWkQpqz3NOfzMw3zkWQ/LPGz/mu
ZmQOSLELAaERaQS2gygPvvFNI1PVRHjftDHc+eJAyhwg6XLyNxGNWwX5ztD7t3SOFpXvVqo69MLW
ew26zrx6qjipXuCDB2TkwzQ7FLXJb3YeysSd3nbbRQwf7UBFzLxysokeYrU85SkfOFhF6V7lQnRo
dfXdcwElQWCvmsdQhFe/i7OjHDWB0TxqTlNswmrEk0xODMwQjS+v536X99OdVbx72eC/Tim3W0g+
yl0ex9Xz2PJM4ZI//aJ5mrXShmnAQznnKXhFeNSHrj0mFQ83HuJo9A4DYZtBHm5h0tjLWIez7I4+
biXVSF6IPvgYB3v4riQ0UYgvIGG9LId1aGnIbvi63L5tFafkkZL7+j4n9+APJQdfd1H88o2VU/K7
J/eGrD5ZorURLLB4nw+SYVoVZcFToPxiz07eZm9q6fjixEG5cQZiWhQnd06/Sdr/Fo3/LhLX7D80
4jBgXDwehFfbhuaqwnH+UyNO2lPqDh1Ukm4YnuNYFwd/FofLPc+3xD4tvxOiN62Izong0NkkZyo0
SHW3uNZAaZ4HMyghhoLjqGwAKVo+bqAmhChPw+kjTaqNayX2D5u7wcUYekQmd7m7i7BPYMqxhpdq
UH/IIwIvuvALPwA+cg6i0iru3L3kiT9tTb2Ai78Ne0rQE65S/ykNhPJohFjSTCjpXJ0Zys1gcjq0
DG7Ts3+PGycUYorT3I6Q86MREF4D03Fh+yZQoXlTOL5922sS8g/vw/92yH3OnF+r8l2G9uHr+Fdx
NW3SWVaTlbR+w26ihAYL5BG/+3U0wmwHJQC52jiW3tGoUwGpPOSuOKmR45QdppSNXPLTcVVzejz3
jZOinaKP6QrH5Y9O+retJ925Mg2sx0zd5wXwphKf9kXF5/SYAChdckarlOeh6ogApRR+kBtcf9oB
M8vfQzlnF4QaCcRr3PYqq0r1u4cZ+jm5MdyteSMJXDxzFuR5zWMldP7ZlWMyu0RxbP2Z0/Xfjpev
L4R6nbKx3IaTye21EVTGkUgB/VhagXG0GivfJqV4vs9zSaDyKQ/57SVIfPpqo8WKQuGZgqDSY4C2
6GC/TvFkiVU2ocIqLJabVnvNBif9LMOoWZGXAU2rH/mde96pVi29IlWIeFqvNpXVbSyXIshXHTbv
zlp1JNwtEbC2ykYuJSJTTl4U8YCp1BCzCRDY/u+vpYMJ5HfnhoOyzxQa0nUu4dycmup/fivh5btT
XEXJK9fDiwYJ8RDyJPDb5j4X95DFF/fxAFnkkFlzwp18zW+79/e4H36bk+9xX5Z792NGAS09VVJ9
qcMp35P1J7ZtFXbXgvP9ok/T6OeKW4rwZ+DRrEzRW16VxhTbRHfTvejS9pFkiIYESaf57ucw5SvH
+sg0hHGlRqQa13sqkQFRt+cSbk0ZD6An5o2m8cy78LT+Y5at7uWCGFLlQe6pU4Uo01SV5e04Oenw
Kz04Ij/dDx6BrxncY7aH1EL8Khduc2We2TQitWx9+y+AByP93Si+p25iKduAZ8yxD9uz0IXyUEXB
O42WMXeX//uPbc1/zN9sOvyx+XPz1zaEq/Kn1v/4Y1MCtauR2tcrTbOnvjCKoxonxTHgZua2UdJ/
9uRcLKYE5++8XJpFuKRNnS4zcj65s9bLN2qbykGdu0pVGFVv3Axqu8jvm9UYQ7FUPbBv9JICPrwW
xG5uzbdhqZtozuB6Do1Vv2kaTR+De8U5A1Y9yk3w7545tuqxDwLtiOzIXIgqMlfyELkAf54i6m13
fskfr7u/V4e1sOGud3r7379N9/9c0TRNNw0sVhpfHof67Pzd+s31hG8uaTtA2y9u132gMugf686F
ElG79LYZZW536Yni2lMddU5CbiLadkqIARk73URzfLAGoBfJT7Rj6eG/aqYNz2x2OiUl9BS2inem
1aurEYTR2rHDiUhjhnYW1lcSAh4RmkeA0RihygRBnZDiY47I54lPxtvDnb9fcP8ShXrH44xFmkYj
TDzkYZft0LMAdo4D2vNF0aHP5NYcphJR1rfJeQWaKZlXtAmp3louZ4N5UleiceMIdH9pOQTP/Sud
ksfWUBeksMdYvNnIvRq/7N97mDBXFWWV5R8LTgyxGlqrDV/d5Hompemek2JCaAyPN9SDNTp2dDG1
N70V8dECEP6jV5JiWVFmupiObx5SapAbor7i6+3XllHuWahdMR7vG0Ub/8cQjSa8htmGRfiUeSr+
3dhzj8Ce2wFyLwor75BgljKsUT8MtnPyq7+ajmpdbRvjY+JlLzV9nnfFKwiPIGq7LUW1HAfotvKH
itpMXw14fpaeT3oCFgtgVUn7gGiyP7mN153kPAGdztpPdHXT6GlJy7pI5kyO4po53dpBZ6qTa/Zq
tsUsNSGQoCcxgkJ9aQlsPwmRlZ2mW7eNocxdziQ7ZBnSN1GOF5tWzjhhPAkrIpFTo95TnUhySu5j
QU2//ebrfX2xFZXqbzIMCET7gcxQ2jRLcqNBg806kBJ8plYaZBwxoNwRnOWe3NhUuo8FYnF/mlFr
TsCGMiU01ayauEGDbGGU1kFutHmPYgLa2jSGjZV5A091aBZWTopB3TFL94z63D3b/+5pLo9cOnWJ
zFPdc23Z2SrGO3KEjRUsdRDNBz2G3pP1a+KMasCebLRKH/kMFWN9dFV9AXed6K1/vQrSv+BFmBjk
XsjJe5cU7kazhXsKw/H3zX2u0/mbZdpKHnCfLkOs88qkbvwOa7WTJEB25K7ciGEsj+68kcMOBcSK
3rC4HSIXitz1FhllqGrZ11F30JBvgf8ciabSclCk5NGfvdaziFx3+annT4LIQxvCxj/Dqm+ImlMf
ijJvrq2llVd1HUD7Psd00fhO1RABwN198Fj3SJMreW67ejhXDr/TxoqRlzvOeNBMP78GDnc9ffgk
Bxb3zoeSUytoB9ZM2rTX3nTgylZn8U5+YHJNZ3FiXAzOzh2w40dXA5jOIjXN8RsnA29VpskuoVjN
qXRcq9bQfBFK4BRa8L131kniAuSyKqBNNeXyYea68BGwQpQfKjJ2ww2/5Q7ZhCVh3seK2IGnCuHz
QsMI+OUaA4FxNEWvUyQi6ks9oY7CfbMjdFUPjk9+R6nkX6q/C7lb/AwNqC8OpKgdzwLBeyHw/c3r
xIT1K7NNx2MSKt1VU9ofch7FIDbAwIkvhdZ3uE6ISrNiaEJIHcgicnr/MuGVeUCb1wn/IifkhvAC
/0IaOWBQ6AS7+0KHtvkyEKi39irbXf6xoA0lfm4le5TzxKUuEEs2h8YdyeSszZrzm0500W9juRvO
0KCRlolplU2JVJVj5IE8elobMZnvXlR0RzpJ3VHuKWiDb3t/zMmFrlC+5RnJMv/fw0RGtLXvAeds
zOqpgXwBIwQJG3A3fTXLfTfBXEavzOavMdR7HtkKbpxHMXxrgrBaBTHlH7Moxm8lYYaRH45vQuTN
nnyppdlk5gPKuHFHkM1f9jwqwolmap1tOBs1a5ITrS/1HcVQ8N0w4mwtOtqecdjjGY2LeAHp/cMs
wWfiX6q2allYr0STXfHfpT8QFM4Uk7p5DgjW3frCWWZYOTcm8spXazQ/dCAGqyqpo0PXqjxqdrq9
7UdRfLSz6LuKgzeRuc6xzxV1KefhT8KIhIsBpPp7RoIv1XrzFwyMY0mHbUUt5ntMMOA5MV3/bA4x
9gb5FVfMF1S65hFbonmUe/dNYwEZlUM/Gkwq3xmZIf95XDsP5ZwTLCbTo0nUV/8U/G61P1kGlAXB
25IcgxAn3nSEPXJoCyDNA+et9ezUislZv8oNmsFpU2tusbrPFTWNAo0wUkJIkkfOc8u6NvqLH8wu
8KAN0HzWw0VUuFh68QWb3DwAB+KLmoS36cyqwfPnereevM7fmHYYnmirfY+qKHxuSyN4hmmw8EKX
ewt9/BxcUiZwxY0nAVuuKIzp0TEg3IOmSrd1owxXuYmCa6IE/4+x81puG9nW8BOhCmjkW2aKpKJt
WXODGtszyDnj6c/XTY+p0Z49+9x0dQJISgjda/1hRDEd/n/kTBPxOigmCavjHfKt8UY9rBBoQOGM
FdhBNdVTzMSYwE/d/lEfYaBy/AjUK2rWFRbHsemwEWmc57lL050+8r5UTTWAVsc2DirxoLqQMhug
efVvswtsrzexRS2950hKyNwKT8rKqGbqVaih3EZUTQ0v+Qm5ygPLfDLU0MTCnTY5EZQICrRb66PP
0iD1zP5koO2/QjFneMlzZ3ghXHa/8BvuLav6rcjsdKdCHWO2aKfGiZ9rpB8Ps1f2eNo2j4Pfm18n
ty43mU9oxOCV2Xnm/OC72OvC33VQU3hQParWFGN28v5MRa6vkRXpDxUbmhec1qzjjPhnOGM2zVIR
6eg0CA6e0QfraG7CL3WTfKnCcDxGfSw2ERwuRKyX30zPKZ69dCieW5eAqhvM9RbH8uJZDVhCe+vd
DE0T4e9vwZba1u2VF/nRQcVj1IBX8AI2ehTOVF9gOG9JNMyoyxTkGkoj3hsgZJ5hZmyvtxvEtmgf
4ZT5dSmPCOaJV0egjIcYd832MN8OAiBIpDiVCQH8cC43IgcYrl6zce/JJXZgn5N+IDIgumQ/erm9
1aok2MR9p2eSjvvZGLX2jKhQ+8x2z7lUSXkeJPUx76fuedpp26jCcjQJs3Y/S5qqJWbjULedAA5g
xs+Ok7H2TwyW25pByGRXwpqDDy/5tLW9nPwqGjDU5tllgK5fuQRWv/Nd1rw+c9RxjeeRJc+DApK7
McJTlXksiTjaqMDbO5NMTkW6vTXQlcMTPNJCApWzdE81/SBmAdzU+c4Tw173u/gA8R1rKflWn+ZS
u4uwMCbAIS4QwbwvY9/wKh+DHonZtIJyMABelVzXbJIxoTgi+OHVySZy3K1lYEatL0X8W+OYr+Oi
1c+IPw2YQ3O1qf6u037LGoG6ifHYa1l0gBtRnmNZEPYtroXqw6+GcHeC4kuYLZ+roe2eMJiMkDkw
xx9JgYaLkkaXIEXIExTt6P1mEODdq1YXx8Z5svqfg3OVwI2s5kPUJ8MawX73W+Tp6xrb+rfZiFg6
TZ11h5RX8jR4w8G3gTRIn0d0KNF+nXMU6mlVkgE85aiqLHn21Ou28YJNIwY82aeqtVOEqKtslTSF
dyqb+PfFdfXpHiC+xwqRPL8VpgJ5If7zD+7Ebe1ZPTbmeXCKQYSsvVwf31KEtNZRU1UXJGrNFyBo
F9Wv5268K62OUH0RT28VSjGNF6FSNnUTqi5GdrVwMSekx3CaihHIhvhFyPpVQBJvYvbZ7suIZc1Z
haDGkR+5KnLDPVoNRtVhQL4Rpi3WSu7v9mR0h2iGNbB4nbfBMYAbjxzbmr2axpVY47piy0IY+MDl
fnBnjcs6XNL4PHZmfEY9mVpcVRDeZVW1VYHR4B95oo2727zCXju9S7y/8N1zE3av+i9aT2p4f85w
TU72AA2IlcvexUSkmssfYR0VX1rLLbfBPOYXcwHuiSbgY9Z7G12yqU0R6M8JLSFbhmzpCACkcbU2
ncS+9+ogDwDo2jxH+2GT+22zapHUYKmllwHMC6pZA4Y0jh9b/rMSPsPOou+7R0cWXZN0j14R7yN3
yi6R6W4zg7e7K/LyvpYumKGIp501P4LljVYj7lOnzBHdCfENs7q2SV0+WYYzN+uEJ5GVsTZk494b
4KqJ4fYYNLUuGJNPZGoJ3XN9PwNeMXBk/tPEo+pJ9Syxj+HHuARnaP0I8DqaezK0ud+nRfuiWiWU
mH6n+fp0AEZ5P0yl/mDxINujNukQeqQZh+6EOc9E0n0ShbYZmox2iP9AH7Go9g39oXX6+RSj5vqo
CiSPscOB4bNWTUjul1GEACWzqn0AutU+VOxxMJw12rPCSuCcCi3FJhChmnrBui+wCZt1UXSJpjI8
DX6xMdK6vEf1bdonJNLdZ4J+Oct+gUmWLEq+J0540mPDM7ufhRpRc1TfMoPKbaEMNOgo92MQH5vW
7U4oAXRIZyQWgmy/2qqGOHx/gq8kKuQnqqdMFxBoZQIjk6mMOKlGHCdCzb229SLwyM4bzScSKhha
koA5zcPsnQJovg3BCKqqXefpcwRSGbbMv4enDBW6/Vu0Dy0ow7J03UYdyLCF9ffwVE2+lgiVU7+U
PIjxl19mc+Hi6uQnp+8L1Seksl0L2G1V/JryYfKHpjrLrc8YanQHluzuQ//tdHPZ5Xcg7/embza7
ziB6aFuOeXaRaxza0Fr7phHezwFosKB3YAi3Y4oiIu52nmqq4cLr5ZsYvU1MPprTdaIrD1TDVQ2i
u9VLlLV0ux33LdtYSJXgAxKId8ZGnd0sCMkLgdMph/FaSnch9G3CAIBPqqb7WXxodmIRSEv/Gla1
D3NGI+3uPvRFNtZHU8qTR11Chrq4rpfYtT4n4q/LTV1p17aujzNJBKnsKy9Edawjr0HVDMbRPHQo
kSYNAizoMwVb3yjKL4sfJNumwUJjsOVDP7SQ5ajCbtM3KLOoZ5wYefOOsqkegGrUJEy7JoYOdDHU
u8dJFjWUGw35hLO6dVX/mAN10hsLn51ft7gx40aKWVG6cR033LhB5a178BTgazyj2eoB+iW6vi4T
uP8qZuaiOVGh50dcTQXXEF/td3D9kNmQwTVdAXBVtV261b/fFKb4mIU0BGoEtuFYjo2tnW58iNla
IsYraDBGYOTGd12LeLbnRXFosBzDetbAI06aVGP1TqDbsoh/eg6PG5QmViAVsgc1yjJrLRYoaKpr
iMYOYjKqq4pMbuadt9X0JVrfyOi1NPW4jfakjK6joDIteCekxP02m5+ncqNDqy1B3KIv3AVQ3blo
nbumrr6zn3eJepXuxQJeu6mh4mxUUw00clTVuozP5+2CnDGEn3Mt5RtUDWey9DzWOGPHevNHYQ/1
ZXSzGssWIvvplFfbdAgKYvRGVd5ZXoRLnyjHbVKbC2ZUk/7FqavdgFbKZrFTMpkzur2+MJ4w8Rk+
oVADWTkTaPeX0k03GLzDQAry1JpVSsja1t88oE4rDTT5o9kjZDqSqNjjC7CDIQPaUZKlx6ErwD3q
B9VaJIm61rAiK5dCw2eQGaowCzT7LTDUq25s/hxFqi2IuUjk+xSm+9iMKgI8gUDFw8ZNRno+e7gm
P6SoATyoZpE9QNn0joEHq3AYCIDHY2G8xR0vRj1oXheR9qxUSN2Hsr/Up+8OwfCnvJqqhwxOAyrV
unEq+gAPrxxD9KHmXS0IuB9Uc3YX40HVirja563fn/2wMh4gbhnYlXUWzzM0ZOWRql/NBzlZHmsv
/3GbqmojNg/bLDWxzzVwrEAZ04QQZbTmNnSs/q7Lmqk9IC3R32U2zApScc++v41FYbCfwZJwq3e6
f4fdLKZYKcjX1cALa82iLHnyG6LzCHJ+madIvwBYyFhjZhhrO/DVsxzHCdVc3BQ9xDBiW4NvVuNn
/L2wVXhozcnZOGNhf7IX1G11/hFHo5lx17ZJRxsz7BtDI9DWppmFewuMW5Hgm9v5ioEvUHQsouES
cUuu5s7qN+3kx+sxCQCaFAif2tDQJH9zB567+4IyVIMh2OQc1Kg1YmzutcF00tHG/CJpIbhjp0mg
TfuuYSmJ+g/EgpzkROglEOT40dwuqM4uPNHkrn4yW+IbZfCKiCkUy06DziyM4NXJypXAZvKLXbv3
Qc7u/VdIuyjYwSToHm4nRXu8xbnHqLFWHtyBrXyTX9JyE0lSiS1vVx6G9Sp1/IllBlpVk/x3qFrp
I5YJ0g15n9W1rrpr2/DgWcbJOtBQ4Q1n1Gwn1MK1oCje8tb53U2q6Ik9RIWkAlc57JP8jRhBsEn0
udzhAbOrzKw4eYaXn1i0/qypvi7PvruI+O50fwJypfoMjfiZwRoG/U7i6rKoZCS9I3eOWD/PhdDU
H/2QjBEk3hkDdwKkTegSNjeK4VyYTfzqjOOBLBDYc3euj0jMBKsqjapNG3pEFNQffwnr7TgX3TGW
y1tnmQxeuLLaEsXyAU5acLrhVpPVe5vRGz3bMnbTNnhSh7b3aNhI2UYO+MmgKZw9vCh7XYxpV62N
9Fvid9qTIvgnxOs23F1sQQQqRlI3NWdrcVa1bBE0ZR9qGB2qtLKYjLexSsv9ret61H87FLJ6GxO3
qEPf/B/JeNKHLMn+tmQDGuN5wvJ1zxbIBXzQUUzHHvGRHP1lqFXx2i6m/mLKAu+R4Bw3u1uPqqmi
JRp8QTakvyymtuP1O9/5S42ngOq7TWmN+LvRJybWdcxVR6nBW7NiD7Yew6XZRvM43Ylp3jtL1kgn
rizbhwUo4MjxM33v8F9B1hpi7hBOJbDmBf2UXDq1qpF3M29HsltLwb3LM6kjR1e8jXb76d26+roo
uq6x47LHXODaM1Slu25nrVlbE0lzVKRwnccHwFybLQASg5Tkmidicm96IrmPVIrSIxG4T0ncc5X2
7sRVW5eEvpedmqiKdLAisSHCssr9HjqC3eU7XUoatxni0uCpqQpZ2EY0nxfD3Ae8TY+Am+hP9LJf
1YtT9Ss1rCaOAhs2VEPareozve6B7Y12COqqu3iyULWo1dqL6z8KLZ3OfrVgUqkFmHipGWpQc7Uv
SY7suGqpKaqmCtahGopMeXbH7nNVCxMbUYVpKSWwRdUUiOWKZ1HtUODYWS+dLnGPgFxUZ5GTHUAm
pbc2/77KMtz/ABqYlmd6umW7ni1BXx+wXpNRFya8x/IlA2rB/SfuuNXFnaqpom0XO5eb/p+dt+GS
TMF1ouoTotFXmReVOyOwkkdtrHBT48+n4x77qLoQMWr3TVO6SHIz4zZQ1t3nzOdCVl19PPRny4ju
RQCVqlpGBwyIbr4gE3HO7bp8cwZL7Mal7fbaQvjO6nj/5z62mFaXD8j68tTLZu2HH8zefYAq+Gvk
v0UNbJ5xTqBTOda4cjrrD8MN599KyZdMK6u6sGfA+sk8hARXV8Ms8m8dDw8IfHO0OlrIWZB2gB2e
Ye5B7rZ/U0E4n+ffyYhNlEM9hBPvsKtGp3/eAP2P32KrrXbToOtHN27zlygb/yiCpXwtwYijd/9Q
zkn2Q1YSd85+RJWzLl19uFf7aVWA6Vg2PmG1TTKv2qYuYefjppXjLIBWcajHO9uZzVVTooZYBXhd
RpZj3LN2wPMNwXz91PXJHom6jNhnvhwNGSi3eoO3mkggsctcoC1zgbCksAVFiH7bThNChNj9PufL
vJz7JC+f0olwpTOAgwbQp5SJipagW97PqJeKSkMUR5A1TH53iLjYXTW/TgJSWjHx4hnQHdwnAkNg
7IYwbOmWb75JTGrWBo9UF7FYpFWTRy/T+j0CUeXJ7/LuhKseYDBWsY8j2e7B7aNjZSDdD9+4Jo1H
zfX/wFo1ukcZtH7IHKO5i7rsIXZ7VDLazD8VcPnmecRK0NRS+gTsZFUTjeHvmpm305ws0NB8Xtof
VcfeKQMqAcCbHuAUl3hb56RE/scLxf2P3Y4n0MAjqmFawmTT9eE+9Pq+152hCp/nLEaf2jmYiZs9
EreGoj764W9z2S93k9+5MMxT77EYe2c9+Ea1E2PRHuMkne7yzi9OqYdTHkA/tiZzAMuyzMzoqjeh
htGwTVaOiZCFKm5TlJxF3EOb7fvxiLkEdm69UwW7Jc4QVZXN0Uvnkx0TNlK1KKiqvzqRTNfWQJa+
Dm6sHTRlBb1Y+EB2SzTuogq/6DxdILCgnf9UQ8y9U32qsHKr39ZCj4DjIwEpIQymlFJRYIYuAqnR
Blj8DBrun7+aakahYuN5NV6nqD51/O1QecrrNHS/rUvNY9jSYwQcwTNxbVimj8qF8DDnlIlVXxY9
Mkj//pRVi4G/LRaA7DnwHExdN3WWDB/QXHMH+qTgAGiHhzwwqiMJm3mVSaXbWSrgJg0b/SSKy6tG
bj2gbw7dw04vmPrAFBILGDrCyOZ9v+BImtt2vREt8AQy65+HVpifKyv8kSEyc1EENMzKf5TYJ3Ev
MJbHwXdhPqFxbka6+NzPXrcrF9u/NocM6w/VBJlhfh404+fotSlHW8dH+NAd1i6KxZiL1EhJoTEd
EmA4dmH4WU8r8ynpHMKnTfiDBJPzNXEda1vx9JD5JufrhJxXUJfiU418/EUzcyCCQDm+EoVrNgAN
y7vU8hwwAsdy0bzXYar700w6dl3r4GYiNwh3i5Gh4qbNBcD3USNRyUKmGbzldy+sv1WT6bMSG5w7
MkPG/3pJErj4uNrzkNTzLctmZyBsW/9wd85V3BneoAXP+Mog5zWIiLyQXewhn39pbQTPjqqvbUgd
78YAa+rcyfadnFc2ZhC/Itv/c/Z1Sgxpb0LoST+i3/EKg2XjjR0SyY4o2RzJbDPgdfRafCv6E+q4
thV9dwYOjWImOVdWHL8hhGS+DoEukBNxPxEHetBxC/+d/8WpjFB6Xi3dV2Pxsz/9OHqDbGp8Nb14
XMNPI2wsiRoY3FWbmacpMie2/8A+6WeR2tox6KLkfOv33BYL6qJ+UbNu/bdzLJLxYchCTfl1DtXP
hhUVU9H2ezPTX8ntkmeQF5s3idcyRRZFteTYrSXH1MwKEJBtFo/YFbjnTOcpOMbB4/Kr8NoHzca0
OXS6n90kKz+Vy1Kd1KQhSkBgV+YImdZCOr1OSfY15KsPCgNHaq2/RO381KYeatf2piMuf+5lpkkV
7a+aaqrRwNG+LFEu9jmugxtsZlI4PnhFLTCFDnGqd8/woSR2x9Cks0ARPKiQkuE25f0wA1hv7Uzb
qeaH0FOeQ6AIB9JuZoR6QSUyQj+eGOXziZJNs3HIneXJ69rscu3TkUq/CLtKeAcTrLUGFv92oZuf
/RFdM9UkFxLMuJKBJyx8+0c/I+o5SBVQlIKiR7SGEe22wF+rPlX4KMDcO5KlL6epwgyqR7PMtTs/
wwrJTUlq4H2lYf/s6t7KjHEjmxsbORFv0lm3Luhnssof1sGI3oKK3xJh/Bk0VrWxH/S90WAdpEa7
rI6ukeGSW+ogavDAwxLwK9nnqgKBFf9u8HHSafCH2wPXC6C1Nd8Wt0kPAp+JdZEFw6ZECefkSaSW
qt2KD30drhMbIofoGiigHGxIkj858YGr+oCfL/sOqG+rC8LtnvnVbTSxs4Ub4Evfm5+SGoYvUqDf
DJsYHoSs4XEsdQQ5C33aLMiAfkPqFKmG4TdWLD75HqBeYNTNXVTYLOLSpLoE1VBeVDPS/XxbzmWy
1lB1vWiGHnPV/n1iY+ar3IEioPrVvOuxcppqJmnSboSDt44aUKf/8EGuXCMF5w9H32aqA+MKeyS0
TREL+vA1f32UH/nGqa2t65e8Hf/um3uE+uCvAhu8fc0ZnbCjXUSP/tJnz6mFgrbBBuTosBlM1/N4
KjKtegq8OHs2/UW7m13xB2zL7Fl1IbOLUT1hz61qqoHZmv9EXt6/ixACeC7TvHuKkqM6veohbGUf
A/x1QTE+4Kk+fLLbLH9pxRclFacKgHBY2egjYoK9/YT5HsvpJbzoJZK/3dKPO9bt4SVGYWsPwpmF
A3J0EiQ0Ov1XODDua+qlBQSDyHrQRrPZ9wheI6GRfUMsZd66DtLF3lLaX8aSrOLgz7/9Q7+irbty
/uLh3D0M1WffArebDdanWrPtlyzy1pruDl/IXQ/nMIiuf/okdmzIQGV+bS6R3hyCJfh0+5eomvoX
AM28q6tAHG9dqv92NXAiEjKeEKvb8WqKavq6ZCrbSbKbQhSKSzNGEK+w8SvEMXQ1dREJVtWpituc
/9pns0Xcu1V8r+ZGvW1dT3o7Pq4XOBZD8blnaZOvxgjJZFVUhSvubLf92fzQ52sQvPvOPs6Dn56I
Y2RQ34eMhNrfmmrg/9GX1daPyHX9rTrg30+XxSR8Vx8+7Z8OQewkw7ztRGS3PeVtxfIY5ejN6E0y
KSrRr++qYc6LUBW2nK6OUU0SOiBkVVuNIL3z80RqWJ3nWmsklFZVr8UZoQDtro0mpzk3cDpBtuIb
bfZjclLNsv7aRmECe6ipDklH6BbXsfGYLeA0Mtn0UjQp9O+twxZRdUzMWtujy+NYLV+HIhOrDrmh
b9NEREPk7g9PY92q44O1nizfOHRyV6sKthO/A5Y1922pl5dAOUYPY/bWoPS4oFzXFc7OQErH/HMy
jJXnGPa2qKLvo5dBngT0+xevspDVrO39nY4LRIc8yHPoOxLgJNLtCFLkd7LpksNfv411ioVm4WSH
gYDnKzliLP6YMIYBLM7Qis45AhRP2PbieCYH8H9uV02xmI/wgyxyBQVS8MJGr6EQwAwtmL6o7QXj
/Zy3l2jo/WoNjwk/cIScT31QDC9d2QR4cQMJjlKn/oZhCquEKdZ49mnZvkFp736R+/Kl1uZzPQdX
sO4V4iYqfyuyyLpi4ipdz0mAR8X0NPOo3uEV596Hoe/eNy3RdKyySAhhper3889+BM78VekNPbIK
8V8j7Dr/MCYknvrJurRt30Eg8b0HZXTkunBOct24hiSgBGcHoC2sc3JzvCtKHtgqMdkO/XjntFaK
JKUjPoN0eN9Ewf19cylQNGvzUvDcLzC5tMnkJUr0uZK5t0gqRCcQ4MYpGkwkKUwkuAkVdydVhEnV
nzqFuJDa0xWu0dKWRY1ZGYj4SUwbNUlFrGvWA4B/g09J1jnbzJN2lbmo3oJCB0kv0lcr7NMTjkrR
Jh+c1wx/m22ESvEpnQeyC6o66WhbrzwyLyfVLkmVXGuq793wtarGUW4A85u/O8If0DFZqUHNNp3t
DPQeWdZ9HNuQRDBSfhrDGvap/BxPzVXVTH0RoAnR6Vr9OMGVB6jOdyOh/A2qDRF2wIUt3r+bVwKP
qUPzYOsDKhrFYO+rKInBTelkO1Ub/UQybcQtbbt0r4XeFB0U/V9t4WsO9q/Tz2Gsiwwc/X4NqxE1
R/Vdh+sS6ebCMdiAcNoPU65N9Sm3czt56JM3Abk7yxCOKpI5zi5JSxyiZvnxoT+TgxlLZAw+czPe
+R66oqrzdqyq3fr81kWzIpmDbaGO+6eJS1KsYTBFR2gAh8kfH5EDEvfI2wEbAVKOgmvfHRYEhD6V
E94IaW9GGzU6A/28zwzvxVxwllq7GXL0C+BXL2u0Oy0v2KdFaIcJ25fANfkP2LpJmJ8RJ2qf/TrR
LknTnERhs2mpJxLGNoJPGzWqCnBiX0wtQ35DHoAx6fWAamq65+s5uuCznWKSoHfoQwfsATa2VOBT
xRIn4TmwlhVuarid/+qvy/HnjKSFjGm4BSkODtLnMZtX1xKsFigc4vtqxF2il2wqrJ2VOb9leTo+
F7IwIcBvEFEyd36J2eDaLs112NQHGSrEntl7bY2ICXqHEAdIzafRaw/+olt3EQ7JZEeoqcLrfesO
HpzYhaJHz9KY7JeK1dTK9EL3GAa+/bKYrnvoRxwVU/luinwrfsH0RI1BXSnWnm9321ly6Qq5Qyjq
Go9kVc1kO64WhG/HZsDigyZoOobV9H885l/GxwL2/uDHn9R51dlIrOY8rFAwOFXqc9U5P45rVZfu
Rj3+0YsO3JpErBFEJS7V5GjC8nfefBhQU6DmEsBSE1X7w5w8AFoOKKuEduQ0+8xM/O0Ajey18FMc
N8xYnFRz0Ofd4CRoQfue82RGRI/kLPYb1R0wLUSs3B8oF/eE46STXbn03qXCKMAL9VNl1wlOQnIg
i3lLlLPxfdbbflvk+A8Zkulya6qXxLJgL6lGr9iWX81E2O4aisWySstlOlsg44GR2eU5Rybi0Ngj
pHE18q466dV0dgygq2w97XU0BDyzot/NAptHCHeRZN1Fz4GIHwanDi+qxY2jPfgIFKkW+kTRs900
5pHHcosOT4gEPGGYbNtUdrNVczD/aY4als0r9LgahBZRnevZ4LN9pGkmrWfsVDUf45E9/lz1m0IM
P8fxhG3PatglFAg5Nza3iw5oHPkz/Fb+ueoiy7SxREXGSSYaXGdMWFkqtO/7+iRBwNfukdVG4fRx
ZPOCk6zrvBCXKfiRS45L5ubBPQAazFgi009XLSYeMkuPVXvXOM1ubJsQZFgx+ggExV8y4TaHuASm
lWDvvG31URvvb+1rar1BHm1rVlq9mVE9OQNkjIi8l8anxs/LZyOf1lpiGJ9UV5aZe0+4NppUlcm9
Cpa6iUtEDET4irpJcyxn6PuN1O+q6HeyNHrXr8t8TZtU2xqF22t/JiL0Q+R8eR690RBqjFEft91x
/oSAzFFUffmoWkmGhXJmuZhWy0Ed4Ymt0WrlTjVJLCzHjmT8um79+RMRjeAexf7HxQbRvdbM+7qH
uMgeX/7WqmH5/VcRdsh2qGb8q3brUwOF0aEvrKqoN/yOonG9+zCFHeLVxPFvHo7vZRxs2/wYtJSw
KZPsnkFmj1z1x6hzMnsQUr3mGWVMe2vJjKsigfIcJOo994jr2f6gr9TItZBJ2gaDUlL1sEUTlXZ1
JtvcI5YGSUWRTdXQMhv3I8Ig3OmtQ5yNF+GqSJMNDAzvmCR9ThBZjqA5Lfqjr7PzMgckAECHbtRA
3NgdK2ukgA4aUIN3p1FVdBjN7KKqqdMsu7Qqv+W26etfVF/ot/IDS7StDHePcUuyjmyLECiijdcC
KTsPYiLmFqrvNhr1pLrmOT8nej/eI2cx3rtS+ZtbBkxulPcQPOlzKi8RKzWnNDA89iPsc26zWUkC
fs9q8y4Wi7Ne0H+8ENPNpDdovPZQCP828+J3+mBjNqFA69QzpC68dRjmvl2FwCDWiCEGxJSQf3Km
Pr/TKO4Dvc4e3fSrEjizgSk/TbqWPo7z1yu1QY034ZsaNy3Yrb3b3E1SlTsT+Xz2+x99M/xU8Vbd
Agj+RfWV3eJtpyWQwGD6wihdRUm+xsSxflt88dj1tvdsQVG7Z/u/sOGhPx8ab4WS2ufcQILmn8wn
VJ9nOOeY1MfxZkph96W2blwLkGMQtZceC2Of+PAj+aXuWlQLsIRSE/rhNkDupD9gpNax5neqQ57G
4k4H5IKnblOsYvLgn4n+Oxd7qr4v7dJ/Ll03fqgD7UW1giZoH2dzOM9QnbZxZhWgD2zvjNOId45c
Hx63QEWKDQchHjXS1zWd76qTTlihKafNu5HIEcijV13in9XMKQqexg68m2qp/uuUW7uchnwzVUBl
3527h6I5OWZzmWcjfXBHzJLTSpyzoE5xlP6rMDsMkWN7WFAFsSceWmrEH621ZghiaTZ0CLmBZyPK
os3yJzaZU5psITo29t2kg7SZZbtVLip1DA8gMrJdVknTvV/F3KEvXBiwihV9O0qkusHkv1gAntHR
nRf9fB0JpPvYr+F3fWqOJhnfaopq9nMYHoCsvqh+H/W5fqWqalTNu06Of37cuy75kbfTXY9V55Nf
67+fyvvb97t9lX/62L/PffdbxFAPzk79SvC3L34EUB3+Ad8IOQF+gzpQnfvXX+LWdfvMd8f9mvdf
v8f1zIi1aftff7GQiOpujFpEY8sWzwVtSdeIYAvcfShAUiDP6rJEXcJI2sP/1adGU6F/crq2ulP9
+Oz5vBobbxu14y4E7v1HXOkgDgPj92pBu0wzWnFKId/uzNaCnAycUh9zFNehjF2b/lLilFBI//Bo
al7xRKnW/Rw1JzUZ/MExxg/t2ama5IVQyEF1Y9EG8qYGcqPBvhRQGk/RuFjnhi3FdkkM/bMu0BtG
zp8dwOCX13svCeynHumg6x2lbtfbvXS9t0SB61ZdRPb6diOSiPG2QdKItQs4ZjtOIzypHuqaUbfW
xmiqaeOWXoeSbdFgjJGSkqzaT6pw6xZX+Xl4KGSX76Fc7i5DclSDg5vWe3tBbsdB2ezTVGXmnSAm
pOtptHKJTX2pFxyBWl9qfwZT8gVWPhGRApt4NRq0RXTsjCgBZc1kmLhiH2hOCGGOZuhKQR/hgRsT
0YNb2BYMoiHLHyw9RTFIc+KDaqbC9yE+adiJalio44lI5NzFmFtojgW8de52qMahp5D27mVIS+0s
YM7es4oRlx6WkGwsdWChsA+zZ7KzCa/06CvSj8sJ2hV8NFmEdf+zduvT/PF3Tbf1/o8ERcl1XDbT
RSDnuWow5dvnLnGSjVEa02WWIRpelfeONWgPxGqb+6KHhYRp2YPqUgVmQyiEmvAsPgy0TvKSeUR0
b/2DXWLybi+PqouEhnO0mzm7oIM2YWgfVtnaimdtnUnMtIJL34oPfVYY1Mc+bfc3aLU/wJsC2Gdt
CbLFkDNt3t6F7bCoRNR4NeGIcVIjqggy1h3XzmtV9U7FXBIbComwXavvpqkJ1yF5KrRKh01jg8Xk
qwUvea2lB21EYaZczODFbH3n0S+xkpCDnZ9oL7luf4vHnneC7KqcKdyhPDFcZ/RJNl8Q9fwcpnmG
9qG2w/vtp1Olwqio4gZZueFWbvPgahb73sseb12Y0x2GFv6GK5OKi0wnOirbKGT6sSjOHimQ83RN
Q8opYxvypBYxW3kUaB+12bOwwCzQvNNgpA6NzDCPU3Xv+yy/DFYd5KKn70suxOOUet/rrorvDNt1
AuQAgegOiIhs1CgK2P3/UNJhrYux9t+gmkLHbx5FM5y5DRP93Q/r4ACPUw8Z6OG59Jxqjj65hMnX
phRQAkzV3KnaTBQuW6n2f1TVBCjrsX49ym9qzIpV77vqfxz27mRq7khi/F/P8M8nq5Rs0//vDGrW
MsOKzx/1KjLu9DzeTQZcrhD846UkBoFSI01VuJNngzUAowEcMT64PeJWdrmIu1BKk3W91DbQE3ur
mplULxuhwd5rBlR2x9TQ+5ZT0BP+OcVfGo01VxRumhGZtiPMgmUNLsbbNZJIPs/TOuhGnGWxQEG/
LVgB68V9y7UAyFe22Du9bZ91K/JW4CZfwdUOTxNqr49Gav6ZzWb4Buuh3AL1CI+qic/Oyk9G50sZ
uJjQRcFunnLjAYJE+9SWkFkqo6sOECdHAtaeuO/GKMcuYXaek7zj6+V6uB+ipftSG/5DJ7h+0anI
ecO5UAjjaZPNHdbc2MIV215Y5qMHpKxeojfc5Zyjs8wucIGleeuT8Q/j/xg7j+24cWhdv8udcy3m
MLiTylGlkmRb8oTLdruZc+bTnw8o26V29+k+EyxgA2TJcokE9v5DXmmPsFPqR1PnDYEQaPNGulco
xkzRgT8VDdbyRi6HuvI2iVSGFMxp9JbsfcF/ge2PP0R0ZhyfilXsl+op7ctXbQSpBDjjQFpwOELe
D14FemjiBPuhHczpweuovcl40lgINcCr30T9FJ/DAXXOKkdjLuaVuQ9Sqnp1HxeI9BETzISlE1YF
eJafMbWHjpTO2gMiLB9DRaRXhSRdSj3xGIvmPpS9RsrWpR2yXaGLf8h9oezJNSo2b6jnt80Kjark
yTcfkcmPr9Bb4qcsm0H7uf0XOSprjmBgpN0tvx4D2ZxvvjhcATJJH2ar9Mg8qd3KsvvgRc9azuYx
Qo9t/lUzfZSOUq95SVWPDfIIhZJ3b7+fu87YebGBZheAnGajTihGdGW0CKtmDhcamwfEqPI/kCEV
gurNa6EV9XKc7fR5qJx2XRiT+qBgVrDrzbZHsJySk1UEj5mWoatjme3WDrxka6g9IkvhYK2NfopW
oZVMj4XfT49TBoRL1a2tDN3jrZN+SodKPyiJEe3h/merIugNkXPUSfMXw1EFpxbM4H/DIaB1YtSC
8QUDWFqb6cmiwIOhmRe+8p3Gh0UN/J3fus7Wz7HW8oTokWon1mkSDXtScopJcijVOMG+WsRuXbkQ
VfB+qwXR5/tlsgfFmNX321QdukCOpqurPJ9XqVaE+LPkGt7QNakTOFbmE1AnQCOOdRvNDRTgAoPT
lWOBKYv63nyaO8PdhT0YxATedL7ww9w7mK39pjh6sgE9BsFCxqIGbOBSdoNg1HF49nFNfBeVU16W
rby+y64zSgK4nqT1FtekbC2L9/hW55vSrppFK6FUQ0LqT87cxmHs5BscQwV0luL+iFPDLoob72nw
zN1k6dGfeWXvBtGZiOTIdP35l6nc79yLmdQ6yuIduulDWa7yLjG+uh76A3H2rUWpfgnzAs+S2s7O
ONpidJDaFwvRhSPu6O+bDqzSUYecvQbQr1LtnFBDMoY3bTRNHxS4ogGAIvPpoeqPoqP+KEOTmugL
vFGi3W2dVeP4xp6/W8pp2aQKyG4w1Tu8BrlVIW5lpeYpLSIk8cSo03Cmswvsb72G+uuooioiPb0B
QHuXXjTV7ALZ0/GZtC0jWA9GpW+9YUiQeg7AHI2N81Z62tZSsuFDrlbtsbXdaDV2vv2G1zj+MRrg
6h6KyqUSx6mwVpZGoLj7VInio4tKAl6TNAi9twU7YIKar/6YuQ/hqGDSOOjexkaVDmiqygcFYXaa
WqgxxlDW4uRm8xXqy69U4DZFAkij5HNqGEBfNENomnde/WRl7acxoprTWakFcaOfuWMVgK6ZuhZo
YhStVQvI1KSMkIXtLnYP9WQ7h1qIOMve/xozfy2WSxzMSDYYsH2pK4wFS/bg0ETt8UMw4qOuJOlD
Aozpkexj8ehpFYLB1fA1tWBFr7XY/pzMbnjIG794LEVjm7D4jQq0t7xAXioncJ18iL2ZRLxYJuNx
BqGiT0CfOLhVIHUCFiduPW9v9aQXMKcxlYWL5sUDdeSVFBC964Y2WbNSorB7cKz5AZPxh9ZHaj8e
Y+vY6MNzL0b3UO1Mz8hnUkoE2v/ImUcKBhdKNW8Dtft2ExaWMercEWrEINu8CW+425DzTiXemFP3
3SvwtexmX5jIR90ixgRx4/LoVm/BTiDEMqpg64p35rJu1PDhNh23IuelVVr1FSJJt6zFvniakler
pdptSldpGbNlV0pdxFCkqOsK6Ysyi5PVmCrZY8j75BQ2KMSJET8Vxed6ClbaPLhXHnoNYiFJujFz
173qouGBj1Kf4WJJLYZy3ehjveKI85wITQXp46z4cZHn5N4V7Jy5Vx1sA3GgVPF+Rs91DWsG0027
zJeT7o+H2kNDRSs5fPcp6T8b5xRYCbV5GbDzeFZL8wTibnpN+t7b+lPjr8d/WIbWHaRgb3otDGFW
R/XxzfXs4jIIkQDZuNmXNs66h5gSD/A0g8RojmfnIAUDnHpWL7OS1DvJaJQXeL2erkjrA++F93AN
gkNp98qjHERD2j+wf9h06FpGy6btQQuW6lc5aZHBvhbxEOysrImWMmbnTnLpPXfVWHGEaBMEz0wc
fAI+E8kSC66SGAK44PC0dMhmP8tA3bf4yWtxfujEqcnNHLLANk+x29UdpGirtjdjMao4jATWTuWZ
+5IHFmBjy7m2jWK9jKP2Xc+N8CznLLWZlznphX2j1PZLi3/cWkGLjdoVOYk+xHolrBY8a+I/MDVd
Mx98nlsLb2sML0991vgrBMiijcIV68kkryqTrDIFK7Ov92FdOp8hEic7GU/7LFuzXTPYeALGbMKu
2sUGfgvlFFf52rLhJHYWuUa78RK2xm2anMeeWjXCUjylG3U96jrUcdEU3yqrtA+yL6MpMjTUlsTc
fZUcdkavbChEB5AhU/sl/ajE/vhSDA2/GDO6mLVeXUhNWS/T7GhkwnzvICd12zFWZuFTGDM8RNGo
EAIEcBc4xpcnOcz4I2lc7O6yGuGVsfAQX2FVkbfmHkXSFMzxgAdCl6grshfo0AXpeI0yo7hKM+bE
rIsNJwdhHltThHN90KVm6407ysXBzatZbc2th0/ggwz5iEA96La2lSN5k8DCeA5rpDMv/WypaVp8
0cP6RxPWdnLwi/ipxgkIs7BfE2iqIzLyYIjlQ00iDWkIUiN++GbBEThoNdtWQzRVhPEBv4RhJ4eB
YcQ8DTJraSVjv5Ex2QxqD+i+VE2KAFyGi2F8LWMlxl3ZwHZcXCYn9Kgs9mGLF7CXcbJ09fJjDvly
yxYTq2svwtRAdy9GPfRfxwTHFn3QtUfQTSNqeYUCGrGCQs65w46ptmEvdVBMfcKvecqSUxkMyUl1
Y8aye2/Mn6vvods6jJvsQ2tGSynBVIEAQ9nLfcSttn0apsnaa9AfF4bEJGDS0i9rFYalXPzrisAJ
vEc5ul/Rs5F/LEhPd+IFEkL82QRYRrFhjsE9dEYVbxy8kX6MlYp5OZbFDoW9yc5vZuBoUhLF0YYa
jtxrXvvuQYZKqYviCAEPOZaNauTbxLReFRUPS4mLH8JxjdCp/k2Zc/C0IHg/Do1dIJLfNY85xk3b
OCipipEIx59CgOwN8uFabr9U5ZQ+gtN/q2uF6gLeE8gvRc7VLqpnp3OzU2NZLZaRxabiS3xNzda5
YrCTnb1IOcmR6rSUEIStrYdYditksWWvFz3oC/Veg7Xfx36+ofLxJVJ0Z41C73e9s+KjbDQ8n269
+5CKZU9ZWKz5bfr/GrPG5MrRKd7KC+6NvB0iAO8/0nTPXvEiq2pKUqHIH9TOmv9L9YKv14/qm1ea
f86U2vcV3E8qQBBVBXHsVNvpZHPur4xzZ8dLeZNbLDYhbBZu8DlPcmpG2kxpL6M4OXb4sEI+iT+0
ZR7gAQK9Pte7+IOG5eGx0jOIcDGP4Q5qyHrs0/yCgWx2yQ31VKHff5QjGYd+h5UpTxv+yGC932Ny
iYHz4dILeI/6A9pFCxl0+pD0XVwtYlMbl5iKYLrheK52LgJSrMpMXRBvvmwrY3Nbm9NCdisxHQHQ
BROONKn33YRMS9UvqLNmgWo7smVd38YrN0VPojC1c52ZzOcNNrGgWox1NOL7APK4yo66OyF1GXIu
FyPS79lxErABOaQKyTo5ljMyKBt57T9dkmMDvS8zZaOkPTwCksTXWbyP3Tr1yQQk4VbzwxrQAR4t
rh/6W0eqlajeVy3grcrhYk/+I//oJ6R+cW2K0PdDzgRTxG/DoPUP/O1QKrPYxhc9mnb8b55U6X5M
rhSlJsPsdpbgn4U62jF6P+4NvbZPsal/nc283MoRJlb2SfaUcSr7RaX5Xwsv+jQrCCZgFWesZgNN
3Uaxi6doML4jtBKu/Uj5pnsY56QoEDwPk2nvmhQ137xynQ84fzw1Q5XdVuiZVz0HZmHvcIOCaeh6
z60920JUZeJbBNkFMawJI1SBLCjsuiZtUqePU2O+xRHeLWYUoiKhkoxe3Pqd2Y1LE+f4ZeKXSLu+
m7r1cQ4osBRkTvbuTdRBfAZx664riGxHBx+wI/nu4Yi1NhB80fw2IYf3phsd/g7EtfcGQfGoWqQ1
6rSaze+vhF0IggTzZLZdiM24XmPukhL+pt6WwXb0yLkFIF6eY7tvN7pXuUfdQqTL7YWvkAnLfdQH
b2EoevCVLARypOVCyxEf6WPTP0T16KOjZUWrtm8djksp+JtJCz63ZIbX2eAGGv6dMaLYCArDSPyt
K8d20jwP+YzWkFl3BxnShgH4uxxntRDrlN3AE/eQ3duC32/Xixu8+yQhslabQ/0yu+4fgWob17bQ
eCSPVPolokTEDbCmV28PtZNK9vHepJnyY6g3HIoxnaDMKpbcJ/5p8T/F0GfcAreJ9/+HS7XATZaG
iU0iJe4BTbPGfQHKkLKXCKuHESL+vs+GcG8AW3qAwRWv1dCLF13pT6vWGa0lSujGSs1d5axQTMbe
Z9rdyjnkBtV1Bo3iIVNrDWESaol941tI9IugAmf6VLs4rIxU720yHHBSrPaxEo0W1c5SjYoAaAdD
WcjH1EY9jlVxkSMZz9vC2fYTemCe3fvjZURvLpwm9dlEZnFdZqa25q9afYbk4zxoVglDLlOf5Qrq
DN9n8Os/Qmbab4dgTFZyRWIP/rXAXUIulaHZ4hvO75P8kxClK8RWJxWbHqAMyW34LqbqG3RRBoxw
WSabKLKAn/D3k8WufipEE+GUAUYu+yJH93jfcpSKrdQ49bFhk8FAC2Plk9bAA/RX8PdFiTG55My8
dC0XeWHXlCt5Y7lS96c/ND3/0/D1YluEBse0MX1Cczx4wtDDeGyg+VlSYtdwh43eYOTdGp226ONV
WYzTk3yOxpaP6oxQIbo9Zgcfkgjlxb5uP4aBMW9K7Nj4Nwf2S2YpT/yZRrjEzSYCpNAo67ZWT31r
ZyuSKeFXv9CQW8k88giGtrbmyT4YoglMjhWhmWK0dR+rvcF4CNQyX8gFVLt+LJVDq62ClZeuYg42
q1HwXKNIjZ9anVQSesDKLo51nJMnFWvA0Hcvt1kc8vAsa5/lSDazBYdY3sQMgEx4ABHXVd9wLpp7
QzvKZvATbRFD/moQwjrrcf4cIivyjLdK8EJFaF+aqXmRo7gHkRqT8dmOY1HAP/NilXzKpPLYQbX1
wA8dHNOuU25D2ftfY/KKudEfwgqTkggV4nIel+jG9UvISOPRFk/yICjZQvTiOS3HsncL3seQ74ej
nJGNhfO003GGyfy3OA5HSh7i5dFj2ojesa8Vy0JFmn4kLTCsetC5ykyCUYJ4Ex9xdxM4kF+db7kX
RPcfNOSg9u9SMbduyotspcyzu0xt73PV6tZGokfLb8if4/WWa9RxeIv2iwGVsjVSAuRU5Qob+Ssw
bb0xY9JZzstOfamgXR+aGTzjTa/dFDyVd2O19fboMoU7LXMooFZFSVvI9tavhH12L+D1+OeNMd7Z
qr0oVCdcOobuwAVGaWTfG2V3MoLRRjHKSo4u1sO7qUlLA9F3JA5y/QkkbL5Lqklbl+Jvqmt1wA4I
FVxUtHSeLac/AGSY0NBlmdPyOJKq1lPvJgtHCdIHAA6hgPKhbv2+GQZE7O4xdhNgPKFXru+L41+X
yVhQlC2PKxGUM3OH97JVm89pWigfQxxXPxU+nvGtOr1MraZ8jJrEPNQaSr+8je2Hzkf8jqPV2lYd
63HOteAFvSZtadVlt6tBrL70SGjt477JlnI2wKz1yUM0w6U+ggjwuJUl3F6WblEWnvZZFBxvxd1b
0BH1XLmojZR4ZYIHAtDlbDEpTtE7IwF2oaI3LUujm9dyeG/sNuy2Fu7HlCqsCa2xCa94FCeGxeSP
LeKq3pudzHBaFGsnfc/eNUbQHgYbNdwoz/PXobwgyEzJTBA0Yv5W2QZmPASNIkLbU21hWDYQANps
9+/EfE3KmxQYdhT5/o////8ANaJ8AkLSxGbFtlTq/tSO3xmDoBcfhuTqAwTd2M5YwrDd6yBByZ6v
t6a9rAQzSo5lU/wa8h9l2UsZdL2JTNdOXmqYk0GB/9eyUIsi2Fywu/lPzU64e2YQr+jJxsMG7uSI
Zsq8S4fcyM7NUdsR+7EMOB8Tt8vuQcPkDJCpb/Kq35b5iH4trSBU1wnfmUtRTMgqkA5b90NmX9rR
zZ1FZw+PcZj7BxkbxYRZWNkZ8O9aju5xowdkUA6psvhtAntRqveeFWzl5wTtaF9kr2ltxL98WK2j
Ev3gQY49JeIbgMsanzoX0qCETLlltoE1ku6Uos8PegOZeFFnQGTYbgfFIfT1huLYZ5xR9dOce3x7
gfZiXsY3TsbSjProahBv5hkX3I1mUezR5bwMttkIk1J2b+vHfOdaU8rznhT8E+iKp7u6axegjyR1
XrUZHlHnzU9yZAn91/syOakF+m3yHpeXlzlaHL8mMcYm0y2XyKt+fR6u9l+SAB5z6mjlya2a8tSg
gg+LTYynXkfvN48fBuDMJ0sfsxa9ob+ukQtjsboBEG6FaXCUS+7xzqr+4AkNgbt18ASJu+rEO3wz
DcISROpjjKpRnVKEpX+T3JBxsfadxsav62VM3lL2GvPzv/9FmkLV8a9/kLbrOA4eTXhcWbb1m+pj
3EeIoXqBd6V+gEwM7qznJtXWRYEFHIwRIwQda2ur3PCxQLkHUYha4VRrHt0wTY9hpKFFmA/GkmeJ
fsUUx1zxguuXGkYbSTXq19iZp1U6KslKmwyQaB5VoUUZwqOIMiw47rVCWRscDMgoZRRukcdGmgg2
xgIpRu2lxzkV4AHixzmOFMsm11DVr1SknUQje7ntZZv/+B1pf/8dAWdBSAStN3Ay7m+AFq3rzSaJ
ZvfqB6itBLGfHWTjaFl+6yHpl+z1JlqRotjmFq+W0A2nneE6KjzBaf5sTmvEjYsvcaUj4O7tPU9p
n7B3xCgmTnaRArKi4bZ6E+pH2531o6FWP5p7TKsLf+UGLphxd0xBLLrRFWmx9IzWOUawoe1/1ov6
gzez1wvzJj+YdoWVSUFq2HX+C+dj/w5311VHRZpDVXXQPgZo778+yrN2qgwN8OZVRT5kV5QuB1+1
MYdlzrEU9opnYdBG4yFodZpdUL/ZAERSDoOQpJ2GPvwu8mZjUTS+vi5UPAdsnkHrSFA4g6jI9p6O
N1mM5N82D9pkS0W5W6lt+thGKB8Xnk3xVbBP59z/EARpsO9bBXsSBUkSN/WShwIFJpirVfTqO80f
eWMr5EKCoF1UjgvMSje/KHqS7UJ2Cw/wA6cHv3E/ehTCtbbqj0FpqB/zOng0e9Ao+RSqW19HyCO2
3XDnj2Q+5IVUEdW1VSLjBHF2PBeljvxpwDncR0TK6lt9hznbG9iz+DpTZltpgAE2ePDGV9mMJae0
1MAHTA4HD5GEQA1QfKE0e6GOtYPKO5yMVrGXjbKjTKZ+aAojfm7aYa0LjUptKHC2Qk40WGhqPR3S
Hng+WmbjMp19B4JYVwCw9i9zhD5XZPNsXMhua5TXDovIg2U2IchCd9mIPU6CPPBiqNX4oIodUJkO
lHnMQtsgb4TrxZDGGZUjaLRRrpL/pPxbVlmw6dK+/4CoWbBtkmVTl5W2sKb+NXVVY4csB+oxAZyl
ZZKF3sqLdbvBgwPRxx4sDb73yBJQe602Mw6ji0oo4PZx6O/bIdtS0MU8HKJysCkzwP6FqsW7vOEk
iOFE+qTM6BpMc9kuS7X0eBzYzzzFPMwnnVw5V+GknKl3I1rdwvaUMcX1tW06zF8c/BaOhdn5a+o6
fB8V0Dz4MisHRFv8sx9iHV6rU7LsQw0eXD35D2C9osWIbBAy/pc2Cr2dRT2pXphT+gFVfn/N8yPc
VlanfGQX9Oe/P4f+ph2no33oeJapoQ9s6Ib1mwZi6BRjA2vdviLHqZ2iUOmRaKYJRFN7lberXf0V
uNT7uFzR6jHeplaSruQsOC2kF67AmrqzWTb9ss2a5kvkBdey9OaXecr8fVmV83rQvPqLrr/YuDy+
aZHmbJyygDEYBPEnkJ3bWCs+WzAFb1k5mWVz3XPa5ahjifPTPQP3boVcZubeJoQkd+YQBBFeS9+c
ysQVRQ4jhhnKjuHSww75eB8qYigW32bl0IqLN+mVEur9KwDOL/KYngbTJi5VDfyDHT4D/OwQOoy8
ZSWN70UML5D/eCYa4j/gLy9TDUU6G/8N3cHFFZW/vz4SW4TxfB1nmasZ2ch+lZN77Qr8c4e83kv/
EdUpgzUSzMUGRbv+WWRSzFxRz0i1LrRZ1S+DqNSYOZ5JCdo4uyICe1VVw16pM+tCqSl4wdI+Xmlu
0CH/0I0flChbB13jXxU/jRe9j1fugnNPfLx1/QyYZV2GznoqqhhKRvC+KTnB/ft31Pgb+BNmMchi
h5eCpunW7+/KJirJeBmmd208aEbyiYgmVgmltV+B/hzPEtss4xFOSBu/0qZd0AZPCWTeL27ctBzn
QwgnqGte0BtANVJM+Ir3PVOwQYnxajm2qdGv1MJrV7caexcVQ7yMqzrfSGDEWNf+UTe7JzmS8AkZ
cjQou7L4JYfZXMG/gfODg+PTf/weNOtv3wXoQJ7HN4EKre04v22sBkdtATeV6tV23HGZ1eX0nKq4
naiT97XRnaJa2lZCOdL3z9h5jc+Am4bNXARkpx1e7krmdm/8q8gyBl72aEcxSrPe9KeMR3WlrcAN
Z3B15vw10q8yDOjP2Ll6olNJ52o9nHCf79g6R4CDtQh+lYwPpTlBEtQpUyoIRE51/8UvOu88+ZYL
VxOiVVPElyR6nLPEP0eh7Z2rAYMKGOkHOUIl28AZW0xkzoRlKzvtZaooP4NyZupM6xRqX+SgKIwW
KhSvJHWY+x2VbRJZ4iDkGoN1azIrJyvi2/P6HpO9NHOAcwhXHbE2FcesaBKs0khdx2J0X1/1Odix
adzoAmyOkU54lAhzOczKgPzHfSx7StXllPLEcg99sM1oIgVSmgl4HHBYQKWbftGbIxKGHDCPpWg0
1BjXpOcRtXTTn7HSL/rbmgpQ9tYbcTYRHy/vLD/p3sBq/PmD9AK0/u4Hezd1+/Ga70HsKns5uK37
7Y5yKD/qH6flhcn9X1538SUbqPs0qj/ZFK+/R+L+97vIC+Twdr/bT6Tp5SbBDnwnP+kWe/djy/W3
X+WQYs+STFq1Ts2hnZELiB2oDPinJ6b9FXxasEN9GSSnl3ntDn2t1/sKO0EbdSXW9bADd3KC2rhJ
bACIJRbzjR1CnM28261un9EazbWGxrAE3RkseHz0X8mc/TFaVvk88JLb910I2XYIldc+5hgjFlQj
jlxdqXwrA0AzqlAK0+G/4i7eYUIhhlnps2mZRFez/Rgy4oTKr5DLkM1dPUNeR6IYP+n7dfIW86/r
5BC31KXdGzblQMpHpshVyt5QNg+lM8LVFRuSe/y+TE7I4T12H94vU43I3WmoT9wnc/FZclj1irrP
MFseG7vBhm5ozhUKV1MwhSenSidIzyKmt+NIV6NwO8wN6QjANrfVt0X+CODL9/ECL/y2AlVuT492
Xk1Hd9AmyvU0/cQmr7AHKpq/YqWTzuKl9JjrwXxbllc+4n4DGXaMCDOKIY6lLkLufAqz7H1MTruw
XB8iPLAE9kxG7mFfzE3804AZg5wWd5PLZVwOkyE4VbpeHOy8fAs9e9rks6cectQj+RU0mXaQjQxS
qdUOslfKafDC76flwnvst6G8Tsbkbaa04QPut5UzsalY/yGaaP/tkKpZMCsdoZlIufFvrAtcICtE
7v3xCn13esOckrpENyYngNTA1yb/g9TBkvHKCGzwy9FbN+j2Wnp8udqA1rxfThetrHm6+eA+rZ56
lRC1xuVSPVbl1cVbsp4t40E2ehGom7ABtFwPc90ukpT8hjNbTbsoOkpK/YD5kcHeMlD8t92QBjmE
iAbdzVlvb1rjGM+t7GhqD3fl8Saq9XYhxwkYaYrQxr6IsCUavU6ljIA2QIyM3COI/avhWc1h0qd8
U7ndcLI8wzioYE4p6fs6wiERX/ayRRLGdbGNpUlS6FL//p7X3L/93nUVNSPV1PGQVsW+/K97vpS0
cmqQY7sqBirZhjxeKlVWnDzRyINmTKlnk2SUbeSQItHPI+i75XJKNnreHxtAgmvdD1AN7rSxPnrI
fLzUQLZ/c0kNhHUq/ivxZq7QNhYj2bxbh6MsRTwX+CNSX3OCrxkU52xtIoV1aBQNDPDoP+PbN5z7
qPMXPGCrt7hKuqVnZTWVwbb70MAsDAch4DRxtLTz8WIUuOnWiEAf5Ncnrg4+Lr6fWt+KoJQ0yOOn
OMfprePBHsvcA8Ja0+sQHkJsIz4pntlvvVBbKU2KkJ5oapSwztrTPSDlz0gp/JiXE5NTUSRNvOTH
hZN+HIS8nZx0wjYcgWZ40c/73K/2sTnuVkZv5+wwinUHYnppNBmqR3d+xe/jsmzhk+UfEIJAVNSx
mqVgW60kmkQ2cuI+fAc2kUElAWLkI2BujuHphkfxRFeObzdQld0wG/VRQpXjEZch246HVTIHzUU2
qLA3lyom/3afkDE5e59oBdZZ3kVOtCgsJuhiqTtKoeYnNGSHw2yPNnQg0/jE6XKi3hwV6LXLWfOx
DorqYg7x2lRRXIRYMjzce27aYgD719h9Vva0QRse8jb753XqYCN4k1qg7eowQwQBdb5hHJ1XC8tk
tMXYqHrTzqF8vp6kHUqungGM2c/RmAXnAQmOpYxXOpY/vCSShxzhr/84u7l/268DsFF11eZcbniu
9/vBRUdAtiEV2V1TJd1gS+M/lZbTkkdRk1ejiv5Upjj4o8IIrPMcFMrt9muhtSkG4eW8mV3QvnPa
fAlG92ssOlC9vgaJ2nxh53vryDVWEqxLO7LXtoDk6IZ68arOPMsRamH2Ds5KvNQkfkfMtoltkN2b
5q3GSXjZ4H79aOKjsbaCpl5hSIgDmzUlzsnoAqxomEWLJNyy+58QMvSTU6BiAR2JRg4j3BUXtTtH
m8waA7RWnOyhHIbi4OROsejaqH3yZr15GpTOWFZ1tUSwYjojB2yvhs6oP5oVqOjSKPzvsY6DvR9+
hC6H3FJE/khHx1pX9UPWk02SIdmASgrxLvwZg/Ks7NS5fLiH7mvvMW3K+13UV3i11d/+/ZF9c5//
yzFdN2zb0aXRkXh4/3ZMLwcrIk1k5FcArqA2zVg7o6aWLxsMs/nvaTWKuZZ6lhOZG/aQQz/HwzQi
KPGzwRACu/H/fTzFr2odzIcEe9+lU3YweOZ655q+vw/DNDonSlsMi3ddnXO63o/8OGF7dkh5Qvsx
vMdUNDjoVfvSRR22fB1is4U4aiIIyxdBSISAw6hwqVxoLXZ5tp5GOLNrzXnq6uYcJ3rBk04J+cti
KCcKzdrYIMe2oWoqL/UwqCgtJNlRw4j6gxNm6aqJ44s/2PYqyZP5uWqb6UjpNyHhMMzPZIhiNtT8
MJJRI3k0aubNayqR9lJNcBqOrrprBF8xrCvWs2J0K6yawjV08h6rYiV+rWocaTAbtHi1F82mI/+3
0Csw02h7WNsg0F4dYLcXN5miRVN6IzCNyQFFY393tOgMNsldtV6iHjRIFhff7D6Djhk0I3uK/Tp7
8sruDXeMYGEN1s4YwvSZIkL4pFfzGZ3NRxtu0BrG1bcxTlKEiopk4xvTtkowNQAmo1/C7k9doIex
osL/wp3QpcE8ZnQM41GPYvORr2u8a4JGX5himPfj/Gjip7oonXz8pJGP3xhgabe2hqNiYGYL39C7
4DAIzaQYqvLJr81qrTalAYjraqFe+OxVZfDBBPeLjXH9HKicm9LGiPda37gbhNIakvsDTk8T4Pwj
xNBLX3FiRz1lWGBUlVzUxv8QAf6h4u5aIMU6GKeZGX1E02U5Ktn4SpXA2/cRWRM57CILM7tqwCs7
FGBbOG8OReXQ25ghx6jStfxLZyfKRfZaYFgLJM/g6ouJAlnq0rcQTyxJ8wUhNhKy8YOfvS5q2b/f
Z7TEeXHTzt5iaIMvO8mr6twYUbu0eDWAz0leUEHPt3mbFkfy2Gmykd2k74pja9dg/1qUBpAhQPzZ
6Y3xoupYJ+N5cPVrZTjIETne3AZWYoMIbOtz3vBAX6DIvLDqaryqwZA+TJF5RXsuv8RuAsN/tCfK
DXa7DMuGQiwklPP8q7lNK6F1NGpYQnIigZm4sKuk3HqNarBvoTHisDgEgcsehNE9LofR4BvnGcYv
FVrybw6WihGovy0JsvIIBeFBRSZzUGbrCA7AuEQJpxKnwOVrdjGLRwgu2hfkuJ9iBUXJ0lJgXzIa
xWRZg8a+f4hedTu4Sug+DsDmprYeNi0vAVxhMA2e5RFWNInUfZzUoF96YVUj36zhHVsHW7VL33qr
AxNLOa+JcdcTeumiqeHpL3I0/Dct2LLYdexPSqwm+9nQcIgZ1EOo8ybglH0roEwNHkIung2u3bgq
dhW6C/cpCIBUCPxKqIzp2i4clV+VkmyB3hbbLMu3d3eCRKm/aH497qX2xsKKB/MSFICJ8mlR8Y65
GHnxBzCwZKMllQuvXLHIt3+d+wgbgXC285UXdRlUmMRrNpzYg22UVTico1p6jpriEsNpfeLUMm3q
ysGHsuiylaWbmFNGsYUKF3KWEJ6+mHbZvMReT7a2UweEiZLsFY1HwW5BpZT/y29D4AGopSqDt5ZI
ZuGmS96g3E5JqVyB3aI7mLPvTvFf+9BqrbXiOxQt5nw0Hyw3+TJqfnmOysDYkA1ON6D8XxJX755G
xfgfws5ryW0jbcNXhCrkcMqcZoZhknyCkmQLOWdc/f90U17aWv/rqnUXOoCaJYEO3/cGRIMmjQ9S
Oo43FcANedUmhrNSatNbttqob1CZ0Ta1Fdw8pJjvcdZeHdOd3gFhQnXcG8/onRNvcObklNSmtXY6
OC9j1oNqKmwkh/jJOAgim5yhWbZzhVxaVhjjsZ0QezfrU9WaK1xO7bMSJXm97ksgjp0R6Aio9Yhe
B2m4LAIwZmFgvrjenPyYUStfaAkTyChQ+omA4zeO/82MOiwxMiibsc8rsYmz0oWQVkO5tbw0WcOE
gXwCD37KKg4q0h6iqZpx47reVynjpmu1uWrRijewGUmKPFp0iiWoJIodv8xFFT2FKXjg0fuY/J5/
gcRTdhkR43rJvfgwo/hxg6KILwpqiKaFFKanoaOJy6Z9iEdAxUmCVMi9Q9cwQirQAochq6xrF5nI
0tA9vGOcRdiVzmoSDqHSufNh8Nma1rzoI1NZy6iQw+CDprPPES/dWDLz5ZrCcp842WuqOVBcsu6l
MbrsFXigWDSZYEcTsbhFoSjKpgLHuOgsPb7mTL1r08YY1NEq8yWeFMxGFNMg/ZiWm6wsA7bGLOz6
PPk7S9PPssas+HOtLxHzdJ3yyE8woTqIn0hGvjDw661uYItGVDr4MK/gZ6x93aKUNo6xu1BKlE2c
UF05ZYgI0ojLwrZ0hr0aGvbBYR4/YN3QL+Duaiv5RVpGqnnr0dXb9f/eqskg+d93ahYHdvIIJgE7
9ue/7NTUcWL6r83mYlSoNaOC4h5G4SQri8jFYg+4Zw8jx7FfVDkfeDiBXrTG3JpQC1GvVrOdI6RS
ZKHbdQC/MofZRlMlRFOyanpqtZh8CXSgnZ2hQRkLS5S8TLWNbWHw27gTsBKgCm+9VhgbNVSt/jqG
qGygNhwaVU2WoTSvOs/QNgkV/LdqVHEw3rY3Q51py6xog4uFw0zl2SuHGOOL4Nz2Tamd2b6rZ3NS
Nbg+1jcimDDXFTZxcNXPfZxW5469/paJ1GXR1L+pdZHt5gAWzQx6boOpOL88/wfWtj3G7GJ2LUGW
YFHPyRVbcVAsWVCsw96eD40+zpzB60FfykvLK+aDZxXJv0Wh/gsUwDdtmkRCPNvDXudX444xMX03
DSA6QB3eO8E8HR6FPlV1tpD1xHKmQySKR/c/toVuc0isEIaR62DmaCccZMyh36VjFp3S2h+JJmuY
f1uxtkvtFLsoTky7alKAg7CF3WkgGFAaDbxdlbiIJszE+GPVTDCQngOcO8ypPNrsaCBMq/latplm
leJPo5Xl8de6bLRET4pLTzE3yaZnR7PxTdCwA8GK504UbpLyxMgeY1wGieWfFU8kxbPwxcX/9DIq
fniZQ+2KUJN6hNAYXgZyF6f//fZofN+/JqE4zBp4uRr4HDmq96vLUaUgg54j8XbxkLnxJlBhc+sv
IqfFfDGJXKxduDJEdF4TBT4BpE6s9PhLuxyhD5m1LqfgW1baWz2o3VM0+u7JMVX3NI7WiJiJuMwV
F65ty4Fe1MywRclNXgJzz3ZFMEFON5DpC0Zr2iJBa7wlcemvrGL6WX30ar2tv8nqo1fRuRdqcBx1
bzp224VpTp8O6JI9nKWDQU6Xld7exMlcrRG7yd8MDNV2wwCnuC/V7K2pW6TJcyQDZK9PQOCEEWa0
kL3ZNLYvI2un7CxhgF4zDztvcaeOWtTbeL9tmtJsm06+j0pjj07HVqYEajlTeDngaULUjwSBXAbk
CPoAVphPspLP6trTlWzPA6cNb6FitrvIcbdKMRoHM/VQ36/tzssW92vZrHaFcWhl61/77tf3EvEE
9juG0WxklhWOrbLv2akXhtpYh8jhCCqrhYdJkAuQf8Ebbe4UUE5XhdQ9W0C+olDIR0R1iXaercHE
QVsCiQgiw6Z21FLHegImUuwjaIoxcWK1xSANU2N3G2D4dfE1iqnEtt0tE9iRQaxHSJfPp4knaRUF
2R5sqIMMjT/1B53tqHJzVHDCniiKdKVP8PSHRrmNtqncSr5fA4W9s2zCrhTm8jSaW9lpo/1/qLwE
vyZxg2+z1mdX2WXEk36LoSPtY79zHEIeEAeIQxknEi7mzm6dY4dO5cGuCnZw8hLtMsVYwvUwDxmx
503QDfUOsAVMVlEMzaARXR6jraziV609WeoP5rrqlAh0oCz0DuRbp8/pqpYoQ9l4v+S5I4Ex15wI
7Ezb2g379hg1EcgZze84E2XfVcTU7MDN3x4DALd5N7Qs/2lA0Ewpu9bs3XdwAgiYG4FxltYbkrwA
p7ZD3Aan0jN/m4ReSFoApCmcGZIBOZhtNZMwYd5pXo3Q7p/sIgYQHDWvslDzI/a5w01WkqJNFq0b
CZdkMTwaknWEus5G9rKTDQ5AxSAltYHN2qrla/zl0l3ngptukPa55gazQJEH+e8WJlMgCtOvsTsj
Fqk0wTMfTBpVYcPBWrXoOO28FH7g7CaMDXbZQE6iaVyiEu3YfOq9ccNtq/mBZsSymgLMEDJtXmRF
Yd68JI9XoeevJqcB8lZxoIfLV2+dBsgAylkt+iZWtzawBH9xLQ3Kp4fU8hQ2B92p0PwOymZVCQZa
n2dn3Ea/syNINsoM6iX0rfhdb/JbrD7HVlMsA9S1t0AR6ktdNM2FWW0kzGMGW8yKm8vopEtOQuiI
sMIf1ApFb1yKEHWFqNXUqYv1HuwBN5+ekcbiGIhCF37JnzEn13uL7As69EvysPgWB6F2ikm3dGjr
YxVuAG4AU2sYpKk0ftinQeiRwshAQUO3sOCu8sIlYEdjK8RJ5VUSorShqYD0JEI2Mp1Pc2r1nQTd
PsC4shMVhE9cDPWdbL+jt+Q43tUvj7uQEb8mXs/sR0INzp7IjsucuI+I9NHp7D2Gkslidh2NE/gY
7ZJMS/cpIc6zndYaZxMr/gqMcNMMbvsHprbvgzZHH+78YvloIJjClW6WAFrUiW+mDf5AtpFqtfe6
mzhLMzkDyZvfbSXS+BqZ+BQR4o7SrloXcbfEWyx7rjw0Mjzdtr6yHLJI6dHvhZtjpJNG06VPrWxP
Yq1bDl597lXFhZpXTeybFLNehXarb8ICKeJQaHRlQpRrMp5FjuQFgIADRDaFL6v4YqwYIQt/0rNz
HDGCYU5HTKkp4XTMqwC/sbeii9cQPYubomX92xCfEhh073YdDZdiro6y5rSqjxGtR9wFzu67YqTO
IUnQVJfVXLcUYkcehI3GxqkOSjWyAsZY7pQ0Mp/ZD/c1T3usZz8xhoVFOr2PUb594A7ruK8Og97+
7rSEp5ZO63qn1g+O8i5DoBXt1HNepvG3KSyVYV13nvCNQmRDh3LDMakE3gpdtdKUdpUZYfJWF1aO
9pYfLWW1gzpz0vWRIJrodYbCfekj7UnWfI6pN9bLe59sSsp4oVpl9pxE2R765nDyReG1fn8isv3z
amSDjjlDhnHl39r/aWzhFvMqc6Dr/NPgX/4J+QGmhVeKZabHx8fJKzm2DKx+CVAm6ZfEtsJbArx/
UfU8L0KlAlEzbaGz+F58Rwn37I+GbT722atWEjMvjHw6YFykL6Vdm92gIVuBn5E1WQxhH+3rHKlO
LXLSdeq3yR79oOK5xofn0KTjQu0t8+iLHFJdzsg82PBYNmgx/B4LhjOqJ9i+49y2bJrqR6AO8P6J
WHwStbJO+tjVtxxOwa7lCVjOTtGVyzY0F5FtN5cSBurWjMNq5auDtyNM0q8RsKm+kGb+YMHU8UOf
u5dxVr/rsb5qTfRLjFDV3xAW/I3AKWoQwl0ObaMvsu9RG1CK+M9I2Te48QgBB406Gdhz4I+BRRmP
j4hfms5JsqlCbBfyQEOHX0OCKUSE5UWplN81mEeEumh6tOP2qq7QvGpWsg2YKVO63V2wOujPNqyE
LUF8pDwAAZ5lm7wq8+PYYJT5aO5QfgR95oEfEkNlMSZaeUha/4usGeITE1gjSzP2ylWMqCNBLaaj
dToTeLddj7RoLDxT7l1NRTYbnYVsrfXldCTdi4VnUwbTUdZn0SirUdu/8QRhUieaHu2B2l8LH6EA
VVKcB7IWR1nc63patxs3s+Cs8W+GopiEd4sstAotEoT0urXsgAMl/lgx5n4pB93/zr/8yfJSdhV5
SqJqKKJFoobvTosMci1w0wAM8pMpE93yUhal6JHdTaOarOJ6hIptX6wcIUOqm+cYhfszGIToPKHh
c/ZgQq1LA/UJn8MDRy/f20Qaag2PcYOPe8k04B4s2+Rtjo2RojoWe8CAZDnxSn9Hsc3bzpUer2W1
itx4Paqju5VVAzXFJXnO5njvrYsPixjri6w1hoX1gDK8xqbX3kwlRa/W8tcJdPi1lFPDiBw0QwEW
WsqppZoptBiteutHifmMDyFFq+oc4YJtl/nMxQ98RNW0iPuDL9v8pSfXPP0YgGeX4xq1iXHUC7ZD
WIZb11ei98jOr4hQ19+Hqf1B/MG8TR6I2wbBvm3i2gDtHe3WSo/oMsMPOgswir7X5aVsTETjP3br
Zoi7tOyXw12l+fTaIAZaLcylhRW1vHoUVZDaeJD97+5Ky50t1hbGLVh1yJd+ZWZw1qTXzD0ehP2r
0lrwkGjXex08NXHy59Hph+dSh0onO5Lav6DAA6uxU9V97GCXOie+8hug/KD32ie5UTJ6Ex+jQa3s
rZWws7hvnHQsPtceBJFlVDIyzCFy9SlLp/QPF4VsT0Tno83pa+TKAuPwaKqFX/yjCkztR1HozVbe
LtsfnwEEX0jsEgSd4t9sMqLX1nS9K2jfYs1pTl+3tl4t8YRtlr6udbd+mL6igNmdZI0bMK1RE2MZ
NpZdsmCymCr61XHCHqGEvlp1ZQXkTNwpFpaneCrunbIJGDziVGnnHO83KH2/0/iWloikl+dimJf3
I6UBFnnh2x2ZXrh1OC1BocwcM3iqdIAGC+QfAxCc1GXhRWwnfX3Y340mZJsWF8gLZSJ6JPK7qLqF
TyAQ6m1fQN9U27B/sYKrLqZFVRTyCt0nG4MNW90+2lQTAlBXF+rerU04d3CXT3Ua6FujaJunwJpL
3Lx07wn9YYzEprB/Jj3H8gaq4yVTnIxwvdZvOlIeOy8cfcJtE56LffvW1ob2mtnbJHDbN9mCnGha
182r3fXjLs9iKOPpjF592CAoqi2jebB+VIr9Welj+WmBel326dShbNavMtNWYJkU/i7sjOiSjcjL
IFfdP5VeWGyrTqwiQiezD/21qpXpl8DwtXWsle6hTPP+/PcRZq2OPOd4H4oZ/zGpF3WHvbOs26Y7
4MIYmUt/MotF5EFG6FoMUdsIQ9TR7LBGFVVZNOIqjd1x3xJfkU04q5WkTo91Ms7RSu67A4U1wkaE
q9lkrg1Ey1F7zFx0+2jgjyUqvtw6iStP7LAebQZebsvWquqnVimP8jyadPi/1FbmXtRWQ4ZVSfpN
Hsb+3gX4tCDkrD5Hnn5XoJRzJCftEVuKokV+laCBFKq0kI9y9ehnpWuyLdkaZVkZdbv2IM2v67G2
bmARq9zub7KiuWicZoqS7INSMW/or097C2LTQvYysXDK88Ld6LoRBnajdi0RJVswoWffRxt1FdS5
/xjc8tNLkuwjSCNnRXRZefK9qj0oDSJFOn7217wnEFTGivsNK9tpp46bqSw8ZL0d7xQ5o4PEraj7
znxtEV7czUpV1whq0QaB1SDk1estQjU823E0/bxRMyvb36DsoW7KPMV6RtYjLUK+ygoLJB0Iz8Tp
N7Q4kT10lYQcY6ReYIUjxRhoybfcL74FnVujTg0TMjeXMsBciSgze4l9N7PsWK2G2mcQ9Wjz4u4s
OxGHNq5KRjCj8mrt0OmFttejiHwS+fqjPQ4VGl9piORP8Jtj9MqFu9wnN3OVhWwfiPdw+NmqwlZ4
EsWMe+7Bc+dLiCDuSxlZ3kvVIQoYzgEiel4Opiqp15WXiRejm+NzqW3UBnzYzyZvVNa50FqTnbKY
Oz8+W+gBJ0bQoRkkbm2TKt4FhYVbhPgQWUxiK2wWnL9IPRfY/lUqmHPH5YeUGSLfV7rjXKojmn6+
epm+dbYy/yGCrX+Qco02/czvhkbsCa0/gn0DWjSVhrww6ZAvk+rPawti0wEsS3NmWfnLiLrUx12q
d+Jrn+pLxAyx9GJ0WjS3gaBiqQZu5pCDSIjC1ZDkAjmmc1FIaH3nW9Vg1GUMSXesBsQAcbihfm8c
R6NcWLJU8unnqC5GDhOz8U85RrajWzQtq8F2VsOssLOoYNAlec6xecrPM+Kbi7mbg6M0+XFQEl3o
kLPw7NC0V0UtQfiijr2VvZYLeCiA+b0aepUVskBFTvqUWW64wlHJe5E12+mGXYYGxWwiy3nnSFi5
l2P92T4ZPpk/oQXZCgVIeSVFI6Ed5kcn55v4e/tdI7Jlo64UunFIevfHOOA1gPylUN4vkB8H1V6s
/ASFKN+2cXERBWIr+Zbc1czKjYwn0aAyO2Brcr1XsTYxn2rjOQ0OBOjqV1lMZvBeBIX71IomLRjI
5uJet5WdzFMafmSNJiJ6GMcNY/Ayq/qzrBGdxjwOj4FoytRLYcYM6Nhd4MQ9w3Wgc6j8dGO36bCW
vUjbzsfUsFFbEL3IPXhXdfwuPyx1e2eXRGgwJln24cRF8xviIzyaSEy9Ol53AAi+j6I5eu5LL3o2
7CJ6ltXc7bqlpmIZZ4AjUxwlumkhlLqQmOy3uh9WUxM73zITaFXl4oFlTfWJPeo3omfJCnZue1TQ
qFzDeag/6sl9SRQnWAaxl+7yIVAQjMI0YBclzW+50uTPUazRJi9R+gZPkKXvuAGfIdJWO9Ma5kXp
eajemjiAbEO0HRd2lvXp1vQwn82t4Yt8VqTXnU9qbeVlY7J5tGlxt+/ghz3Lppp8IcbNCDxHvZIQ
PYu0TdvrnkhEJ++5BorNTcoMvajg92Ji9WoQrH8jnvK11T7T9IDMmfehVv6PpGM3gI1yuzG0uN/g
JM6u3dd8CIa21fNlUoRNHyxh8lX/koG0/4vSZao2/yODYoH5MiXl6y+CBRqGBEM4dM2l6Pp8EWez
d2xG1ztWopBXskASOt1YI2elzGiMetHa+bAxhw7NMb8DLoRTA4jozOcBGNncEcD/SLGqcczm0yoT
siFoE9766Xs3jt23OC+KFWuUtkr0EAKQeLt68f5hz83cOyBg6QfIKckOO9CEXqsYowGu6avwLepr
9b2siy26EIhoSp2q+2UQ+NHBq6AfLSq1Tq75jHj8nHnnXnilOuUcryPPJqslqjpwzZeiUw9q5Bbo
wmYOchyZNr0XFnKZulBOHXPd2LZSfLTPzT+GNtcOhZAplUWDuMJcTDEvnFv/i5SEJDv+LTVsWpat
efg0OhhoGeov9OOuFRsBfA4uoLfYB+dgNVt78rYWccSr4apAKTaGuG5aZSQf2lpbjCsGkCFUZYdq
4k1h5lCb7kMaX9kMRrD1rEo9Z3XTH+1EaFn50XqyYGjbKcdTNtLeCT1MDdh7iz+RrNdIWh7iCSk3
NxEdYkwWl4a/qedhG3tJcIjUbNoC7L1NMGLZW3TkQDikGQjhnGSTEfdr1PVGoCagBCII5ofRqDj7
imruZdHN8q9Tr2rbTu26feSW33WRMCAe9AGbrPwXPCzJw19zh6YgMZqOSvpdw8/hly+4UGe4cTqw
fz13uicgBT8A6g1bmVT6hcknq4nV/9AQi7+PiATXT7YjJ54tOqNMDi6ogVrT6+tQhflrlpG0afWi
O2Azlr2GHVnz2oI4IqtpqBRPXeB+kTV5g7h96qLmmrlkZcqwBaypLwxT1b6nejTgBNOOL+iiYmEp
5H8VJzffwzG+Jlob/66E0Tvy4M8g4VT2iqG1jqeWg3fVD+9lDGApnmt930LCew96FCAct/JEtmN4
z4b0XOXdfJadNpkQPXOs15Bz07UjBXGsvWBCZ8vHzqRTfMKTc4IIkTUq5cIubW+VqCITIIjIXmgP
WMJMn5KH/CAoP6pZbwAxR+NLNtUGBpxhV3kLc0aMa/STnQ965lnWkjHIoIS6K1njPOZfMpUdX2si
rSDbCjueyF065trqQlZVPHPeQPA3JH2i+RyrnbNJg7E+KcDSDi7m3TsnzW2WUkyMjNArr8hVa0uW
2PGQzLG5jHkA2PLbzvfaddbumBTAVlRFTHntH7ZV/NbhYPA5aU619LAtvjajoa8H1Wi2ignLThli
Fp/G8z/+3yulN5V77/Av84WtCazI3yYMyxREDViZGoRM99eZfMo0S/EzszunvkrWLmyfRwNOSWur
EW4ATftMdkgDZpQTxRl1sLRwxQZ9G4A+sfNQJ2UpbqlVVVtUYrgNDrHJ0f4pOvs4tE5yGCbMN+cm
L169idNxHnbqG8fnEhtspHWXczzFiyif3Z0AJTsLxfdTREd4CYTiOyx9ZZ0YLsc2aFfOgpkabW5v
IA4ZKd5B10VqLWKIMFuFuO3v89lGWkRYsQKuyg7Ie6CgqDZBdgmxigoxzHhJk9S/RWwxUJaaL4Vt
ere8JQAchuO0k51J3Yz7xC7DpaxadhHe7ObUkUypl06m9qBcI/sgOysgS1sfL+FVbxDXHCIdpGCe
xpvWMdtrMJndMqqm8INYB7L5xImBVEit21Qfz8kcKdu73q0+4bjUe12zSsYkXVRRbLxZ/DNPxpT/
tfrozeYmghJsbsh9vY25af2OatjCtgLzR1tptw6K8Wcwq+5SjfkJJ20i6loW+IOWeRUBP7b9XTrU
ZbZys15f+oqOn5GsO/JAFZXnNlf72zyfEyHLLIvets9FHTvP8FanV+TAqmXdBu0ekc8JOVY00oYm
qdZyrDfM7TaPHPg5SD/0XVe8VS5EKJWJ7juiTGuPJRMf0yZCqc+dv80wZjn1OMZrNvv52lRw3LDC
rtiXgevtrNyfnuUn1R4/cdLEPzThNmyG6EvOGkFsUeudNjnkLqLmCtIIgVrxIkub8aYt7GM9h9tQ
mJP7wo48qVAOW4zTEPPCYtIb1b3trtQvNiZIF0mer2F0o/oycrrtQo45st5GsAx+Uu1nA6uultU9
IUNGPhi/Yi1Z++7YbU1gR/s7TGqqPBd54thcSdQpbNDKWLkWFlWK9SJ/6Az99VjNh/w0NuTAGh6/
Pp9/LwdVR3MxGa6NHi5lLRdNZj1ux3Rwz4Of66/AqUF52ri+2/PcbQy9KdYTzKaXUWmOg5AmL5DP
v+l2ftHSsHx28gFoQRUhqeE408YS1d6JAAcxqy9kb6GZxqIkvrD1RKjQr8qfxai5HuA3nvbCtNNT
nKAph7HYfqqZyyQcPIS7gUxYZbzoQA4EQFwW+IDWZ61YGTnaX25qXhKgkO/eNRR6Is3g1xdbgRot
aggmKacoqNuFrBphVe5rzWRrL3q7AeB5DXNnk3WJ9j6PyRf0mU9DF2Q3wl4z/pDWxNGlaNZu4Ifn
DnEQCPWt+pwqZky6OUdeIa3jnY3k5LG1QrCthZ+xMvLbt4H1MtVW5Cyitmi3bedjVhP3MRbPo2Zy
KgQknI/4moxKu3fd9DKhBrWEL+UeEy8334Rge5Rr3ZdwDuttFLSQp/O8+2Kk/S4sR+/Vasb+lEcQ
+mV7mTvo3Tcc1UJbSW8YJL0k4vYoJ+KOEFuzk9VBTxfWHM0fnpGBAI0zHzxu3V6jxCrOQ4u4uHj2
ZZFWRY2Wamv8pa2vDHIeI4onvqO9lo2aH9QyC16UMVOer5O4lPVHAUY4YVuRpbtHG6x+BdxmOK0b
5hK0+iJcX5TELI66DdrEyuflYCCzCQFAbw6Bm3nLJK7j1UQmb0B4hIgq0vrBU2QNxi7rq+fA6wQE
gcJIANA8qvKqtkzU1ovuNazM75HLgSyADneZkaP0ez/44g2lgSaz3u5qskBffH75CBzem6VE08mu
RtDKYAJLUh373uz1N152/sDWnPeN6upvaVpTJbblzY7x0nkjcGaxJXJaVIf8WP0KWB47BjuOn01T
UY6onIJaJPzWxhW80bG+ulF7q6BwQEKoD4lWaadQQBKgX+BUKa9E26NqZ/E6V4lxRgoaKnBsOewP
sQ9QoAR47YbKuqv4Vhyp+OH/WTUMNi61F/XIp4f6Mot1xPnA+3/0U7t1U0W9jVqbXaBVXWVz0TvB
HuCFsUqRZLoCwtnoQhGTtdY58Kq3OWnXWTWXWZPnGzUtQI/82d3XnWYu5UhZlEmWr5xwqJbSQSCq
hnUvtKR1Aa/oBIhCtsvCi10WT6t8l+3pXOo7G8LIwsGfa5Ww9u6izC4+2jzGmTnJ9OfaMBdWlPWH
sJxwGBfbww6AhKEnA+LP9Xxq2I+d5v9cyTajwFIjFHLb/2lXk1459j2A5ZE5/hAF0JnllY7I2qLN
iQfOSLMWpvpRGfrLCGT7Yo9pe4OKtKstsMMBKA58BQhrqVXQ7xI/NcCvEcZ6tGWi7RHaKnycW7Wp
dne8VfXNGCtSG83Qr01RVWcjuCTgAfxZ5Js52UPq6FLICKK3hbaBml1bLE21qVazhnciQYXkxHOT
cOqBn4agU32cCZJCMic1YHgYw1Rl+hHm8ykcCeb2Jg5LKvDJa5qH/ZJwZrfsYbispEsHVCB34Spq
RIJEK9+z1l5Il45w8BTYM/02ArFCUAJts33Z69hAYmuFv1aNZSv4lLeE3Jk36Z/NhBILDyIMSOjo
X3rHfKtg9l3tzi2ejdY3FjroBMdVfuDg6H51y/Ezs2LjFsVEwg2/tNeGmuVfe7HTox9nkWKdD5lx
KFR9vuIr/CPOeAgMvETXjWbU6tJT1PoQaF59kFfA3Ukk+Cp1fKNRec9yAHWt0p6VLAx2flgOODOk
c74E/X7OAowJO2dyr3FNim3C4weooO9eLZWV2GjBsyo2srwuMNQ5dTAkF4W8cqPx5xUGv82m7Qig
/tLxGDz2ib6IZg+9qiI1nh73yivZFgE3UoNMWTZEqpaV1FV3BUYB0RG1feqRDK3dSN1JjIIsslir
vEulzEjtq14O69xVog9sNsOT7Od0tVfK3iY6ZUJIsSJ1+pezgPlfR1vHxIPQ1A3XRfFO/fUoQPYk
nfQZcSBtcj97x/+h9LW29VErmhddrtsHGILjujYKY1ebqJBhbpYyo2u8547ykmbdljSAfTGs1nhD
xn87+7p9kagH0YftRLkoPHMjz/X3w7045s92qt3P+hXBqhTbEzDrBGBlbH0qkmapjPwkmQNFgImD
HmzCiDc3K7fk5OcJ7y5ZxNLLqza75F/Ue1xHFXT1v56SkKxxbaSl+M9AEvDXU383YcsdMY08t6UD
Z8QqepwDendr5tXXzPa7J1nIdnnFaaDn5XPyQ9Gbu8eIxzA5wkVN42Tbm0fzL0MnOBtPsW2sDJAU
x38a5hKYhmhYLYZuULXs4LI3nYdUOyuhX5GTMu3jWPjRSRs5/EMX8G7zVEwQcFobmxagLk3d/FBC
7TU3svyzUNJilTpR94JXob9rat3YBZkLC0slaDd66fypDeY1zx1uMtpl1+vNdz8YtUXiVNMtQ6xs
bUUWcPo22VmWXn6kWsCC0w7Rc4PFFC4tX2sLJGZulgP4WeOVxF3x4fSmv/famfdFDBqtCvc09tQ7
2IKHwsHQPDS9AXTJEL0lhfXzSjH+bPt/e8sujt4EcWVJcl+5JtanpmBamxEfUCAoge+mpjqp9dIy
Ix5zj31nTe4JqATxPhDK/fJeR4ZNBxrHeeZxy38+StOTbaqMC7PBerHEj/2kOjH2M0LkOkm9xUgm
7IvpOc1GD+1iP2tR+xql1ZsckPW41wUjLGdWZXcVFab14lQg5/GYqL+mnfFjHvLkyhbEwLy+RRBP
tJuVtfHCNPvIERkhLesA4C9N94vrv8v+eogmsv+ass/YC7xmaXNJeGe+hm3dLQ1CAU85rjwY0bUE
ZcwZK8zQcrQNOrrfs3lwYCMpnBNlj4NgDPkDevQS4TzZhroJuEl1VDO4GyWoStjr595h2RRk6Szv
KOKp31r5pC5l273Dd3AvitP4IKvlUEHQzLGkFFYSnXCWQEaMdKz0nZCNsi57/nGM7EbUrGSRQD3o
fuPjniyphp3N/LW19HEbde54UDDHwfg8sAcRbx6f+AJw65tHdICpyV4Pc/oB+tu4rSvUMgqcXey8
ncDAOXpzVKoUhea00NZ9r9B473KMtsE6xR89VKK5vPfJS4yNsJceg3DfEkDmIUICIsB5dN3BjdjJ
qutEe3LD/i3pZoJxFfYFj2GhFTJMVabPtgvvwwynUJ5r8WnQDKMeEQNr1c6Q9EqRsHGgO58yw4oX
g0jw+EBgb9O4lX2WSNJMvvmbnw7Fk+xPmnFYeQoGxXJE7BvJHme6Zil7AUVhZtogRl1WcO0HfPYC
Zsiz/CCtb0gRFpiLyrHWGMH6z9pkLXurQsfLThsuqR+Z7PLA70/MZYe80/C0etRlI7i/lYfn0C5O
JmKG9zGyRw6UH5FYMTfeh4sPkleygOnyZ88/Nsrb0zHSDKQu+GMeg9LEbdbKAPCVRD7gKfgwH7qL
SMW9ag3xvVq3vrKyxmr4P7bOY7lxJEjDT4QIeHOltyLl1bog1A7eFDzw9Puh2DPsnd0LAmUAUhRZ
yMr8zTYr45PR2+OPIXU/cHgxPjMBpVFXtRAtj1FZ4KXRv4IIQJU5H6lfIAS2Yq/vXAfTBSAhHOMh
LMtZa58Nr5cr2o7APTiGgVNtKf6v5ONvqClYKpqDsPdcZJYPPjkAhpz6LLpvpolfMRoriwl8BYkF
vTvKAwtn6wNmpJ35NunWAgGHQ0nqyUehbBsbCG2KWZLc1ttfvhNF1yj1jacuzh9kt5xlIw+0cRT0
xbLGIycw8yUjCAUnuxHJSTbTHsO3RabUbzwbwJPPU+7z0jyxl3alTjuB9zcfbjPLHzj6O7v6Ok9i
5NmMHjsisAsdPiEfYahG6w4ZnZ0cZaV76A2/ePKbUX0sM/sRhb/oIwGpsDNztV7Li+StkyK5Ivxg
rPWqjy8qAolUUzU/WHgD1VtjJkPKEXmoc/TFAWf6oELgnN0HfDeotmYLH1Fe0UkmZQuI4FhYw3/v
Iqc0Sb5Uc3yV5E16xzq5xniQJFF5yPqoJ4ORegirarjpSM6mHOmL0dM295kpgkxIW0fGWmCa2Sz+
uryFNgA8ByfaoErHp7ZUlokFWtDo0LCuSbHvdQv3dzko+2xqsQszwUFONj0Eu6+hzl81XyAPjifQ
SfC6DEoet5R9aha++01RnmRXpPXuqVf+jN3u4zo9FJW8Avlf5NkyRRc19rVkekNaI6L06MRhy5Ok
PpROq70g3K69VCniGZ6KZMjcZQzpD1SN8rMcy1oStziBTrvbIHivjQ0Yfi1H24byEz8KNBjmS+2e
YoNv1AeHguKiLYP8wSPp+mSrn7Curecw4QCShrB+aMuD7FMzHxJJXY1LVJ4EZkUwrLRM5FfU2bEO
cQuTZIXNPkl2Ip61DPIifMC6Nr/66jTC7mY1qPGd2zpT4C2yKgse09BRAMB66XGM3VfZkv29laYX
5OcX+IEEj/epiRhWFHPbh/vUdkq/bAAkB9kl53sjxIigAz5WURNGHgEVrXUqNGt1v5N8I67O+03b
oVtpkYXJRKEWZ4KDvW3BXmoqUQCOp0ue+Ql+Dfgx5/Em1xAxk533w32i7Pv3Lpavc1k73+Y+xUeE
4a+73Af+cz80jfZ8zaxlKswB3xXTffK1SXmMgrOrWGMOiErX10FEbvfWLut+fnzE8CJr94nNbr4d
gLeu0ihidkkRzNXz6QFypfvkZZW/w9pFWdxGKz39puWBOMlrdct2D52JjsufO/sd8UnXo0Q931pJ
xpAM2/B8u5ZNYUnhoax28tZtHjYXpYi2f+7s2/VKq6GTy2vln6CUZ79Sy2WhZAb+1SFG7U9any/5
yf+QGJT7IXPgHUyFUu3vfX6RmPsm6n9IqArerNlVDipKS/jeotd+w7DMaBb4BYacC3M4PEW69RHH
Rn32BAF8XrMSRqHtLPXOckm14F7ckTv7nhbpAYnAIaQYv8zaPiTJ4nZnaM76V2bhu4THR/RW6Va6
yjRkucZ6HDdjYJqnLAu1fUzSfh/OLwPC7gulTRzV69QmZYlMdlsH73ied98ntS4XtVU6SDYLyHDT
MK4V29E+zeK3nGBXXrbSzcA7tVTuLyFF9KUcoKq2U9tAe8dNiXLyfGs37pehUh1a3zLnZCb1GqSz
IZP5O6VhfXZihFNIPrxZtW7/9IPykAo9/2bNjKgICPyZaEs79mhpr0XadG/zVGee2sYNAA2MfyDc
kqefddXyFFCVPLs3OzHgyC3biFRcK8dNd7JlsZ3SN+W/l1gt6ak2fJu6yc1u97N1yHdq5lx0a5gy
gl4UH7Smg8egZpZKcEv7r6FI40GygP+gHf46zSIN2Dbm3H8u6Hy13A+InLBLr+01rjQLG9eQfcyX
2piwJF7UXdycxHwAAVD/dZB9eHeXO09Fq24evF3xn3mZQfYBPYjRW6P9K9iXzRG8nPT/3TZ39WBF
PU5DsZ5bWvJN3Cf+9RL1WKLqbSU9Ku7MvM/RI7NZWC5GGFOrmJsasbB1Ar31pcdR85DlhAa5Zesv
iuV2F8ivYHAVWEcdplCJGb/IqWRKn00UpR+w8jReHBftIHWI7b0cDBRLXxumkWyyyJkeKbMeYg/A
UpXozk8NdxZRFr8aFf8qnErzZ9Tw8m2Rd0AP4jGl9gLUA75l+akl8S5LwVgrjr13YkDAB+xG+SFb
DbxGJUmQH5KdarVszJAAJAVAN6MtnnERyM5qr7/HMT7cCKGrlMhH7wFEEM8m3MHXAs++zX1uk6jv
siUP83wL4ecH0zL+nm/EdnIsJ4hgyK5A6bdmS2cx+z/LM2NuqlnAiKjwg5Yj/23XA2nLgE3BSg7L
icjiRcvJsHY9qpsvtnauSaS//tOAVqP/25hUsUmKsl1E1Hi2rsgqYHZDde11DbrwmL/J1v3Qhd6H
quD8eZ/qRyX2WXGDcgtM+9vl8gITa6/MB7lTJmzBwjEvWCqi9lEXlNlcMTxnkTE8B3oMuNVRGzxj
aOqIuBwI1kH0mH4mlkWKUJKnpVc5Coa6WPMACvguMHnsC+dBLb3jbW7iYJQ4Gm17lKOgudodekHd
Mi7i8XlqB3L1bvnGRn6TaWp3TuxcvaotOkZNgt2NH+Jgnw4a0vtUp+O9I5yMpZthPrKJbT8H3WT9
1IyLSZAO0TQgEiUjTppItisPtQ2PneHtstutY6yHvVnDar7+Ns/yUFJD2H3cy055e9baYCNUje1l
Hdf7eGBPOYBRfVKFPS4LL0GMQmmdpwo1QGQgo5VsuZ7tPJVsMVaKVSlrWzbnaXa7iRQ4FXJCNCLq
oCh5Q+LIb/JllxgY6mAcLV+A7YK6GyIE39sKGH0w01hI0WPmPbM4MUfzAcHP7SFCrHghe6X3XhRH
zVq31XiRI1toLeVUOdIBDMK8uFcVyDABthe1sK6B0sS7YaAMM+HiyGck2ughqaN1ULoegOimOplu
0Zz0NmdUdwSJQdVzN5Y3mVdBae/qO3oGFyfMlmOt8rXRkWY/ec8jkKXIVMNnzQyiZ8MJmqUyucVO
9hFA9A9dMBwjqmCIgv07KieX8ygk7tv18gIwNP//9f++Atw33tq/r1DoaKgRCLbXuunxjAIGarwH
ucAWQkuyNZRbwGFT624x70DaTu/UlTYCkVCmslkEWql9L5J0hxObEywE1Mq0D6dtnlveRvRVdCFd
tMylKLxsCpqjFiPePWi/Ez7JY1oDLhQ5BlMSLtQPRXDyc/A6Shc59bL+za38ZzkmGgxcUzgJR9lM
KPXernS7KESVwYbgI9AxThPxjThNm/8BzhEadEzSSV/J/hJy0Bal2QJH1uwKG97YEK/3i3TAS0Ye
jEhvVEwtrfJAqfL434HbHAJJSjHn+6A8s82Bm5TOE1YQxf4+eOufX4EUHLBtRQGqI1/mPkdts9nC
FZu3e99tjldEza43zc/7wP2GqPFWh1KYBQ6YNr/nSrXqIxi3+NGbiosVk8skf4gyuTvkv3rWU7Mw
f4NqeyVXUH/YQgmQeyJQqPNsHyTUzoAxEb7JU79r8U3te+1Ds4t2g2EUv2o/ZlLYGeHSp+JLObWx
Zo/sxqmP2nwI2jHYwjN7MUuMzdS0Hj0eh0kDCpF20tsZwiciXpZ8Za6ZEyarcdJ8JHhoygPzPMIb
kIH5v328/HRQ+vHzNgMc83WKKxDI4fwkjeqrWj+T5hXgwZg0NkXAJt5qHvMeFogcAFIm9m2U9RsA
UGZfLStNU5a4ofobJxftlaRIu8vmZ4lsJkj9XdUK1EYYlCurDMIH2SUHqZfAOUe+cy2b8sAjHjUB
ER/ToLa8201w5v0JqcbaW/MryGlVagDMLcF0/zUvR1FTL7HUmsrjNFf49bmWj4ATTxWj/SFbsj81
YpVKA6ssMk97dXLGa6y7ygsS+8hYeYZHmrSnWeIhi8CDsZejReSFsF2qECklJptjV25jC6KmKwXs
jDw86CUEr1wf+2cigcXYNP62BoKyLfgSvWdjv5tm30PFHqgZqlHwgCoI0qECxdiqH6LvVBIOiMGN
b6Wr/rkSfgPF1IzMYB6sEFAofipBrpKaHDKY+WOc+8sWTPDF6r3uYGY9+YZENV/aivJrmPj2T/yN
VlqXpF9ybpRE4SUNrCVeCMo6i/30AoQnvVTsVy9tp40LE9O8rWzKgYzfUaCwTZ5Nhu3ZjdgqDASa
ZFvoqJqNUexsErZpqzoV7dKaJZKkTlIiMPaWh9R1kf/976lsy5nymv8OE2NxUU7NL8IVIE20I5X5
/lEedLAEHYVTpEQCVrJo2KYTbFNUmfCyIZ8U7Cdsb4xcycg22vGJ6v6PKEHgUamGTzdH+46fUvCG
jWGwAj3lPlYOttKjKFA7V9VkZwxTeIyt0T1MGSSjqSNV3s8CUshLwGHFhTkubx3pyEcAvdl+tJIS
TZZc/UWOall1KYbMNvIiuDH2v7Oke8TYMDq1eheu5LsM5reqqdB2BzL08B+1QLv4fvvsKzWib379
XZL5+RoHO0At3Tps4faH5JCWbRRthBhBms9fcvZu+swcabcSunLDr8wDUwCaUkdD+N4PZUagyuku
LM3cyXL+vbovi/2yL3UCnF29yl7e++6T40hV9iCOz7lGwlDvo4vblblPsGMWSwc38Y1iKbQrczQX
WRcP/gaHWaLZjLUVJWKDDWXZvSsW2kMhLKSCKOvZd8GAzN0W09A1xrBeNuvKnIhncmMrm5EH26Mr
J20z+E5623i3oZLBEI+/yZ12UgzxsdTyN3yVuxfN1DeqF/lAk2h5CbKViQZKO6qs7qWnALhWFdNf
924UPkfaqzEzq1Wc6ZYVbhIA7mkqSpqZoP3AIXWugi3x3Hk/uMAtKAioW9ll/eyNrH5N8LBajxlv
U5up4ZQH9DWgQXvVwe0OQrxPBtMbTknnfMoWPtLA7wDfUtyIWWeZMNVpu02GDE0Pwq6D4+XkrCdE
Q7MmaldeVecfceAAOrAn92gafvZhaRucNPp3o8rdU9qjMqfMs0SD6i4lNw/1ITv/UHqHwvuUPlut
RkzOg/LLijYqgiI/Qq9GP8g2pwerm+xjkkViHQLk+aamyhaYgf2jThw41EbiAEFCtLgkB7m1HGFt
lbiZWCd6iI9pyi8sLB5h/zXBIsI5Ia5ZVfO0wZLCVr7Cwm8hozvGaxZPzWpsyhH8GiiIiUcK5biH
wrZ6PiTx52ya+4Z5dOqzAHhL8ewbmbFu0Wh7ghYxLBHYsN+VSEGb16r0HyzJW4wNia3t+M3xO3dv
aymKaEH3qWja+M76Wa5CgJMXL6HiMsVdt6+KSjyg0aysAFO6r1mEloZtDyXa7JG5QppQWeUkOI7u
TFWrHcInUo7R96GtfgJpC549z/nyGxW9ObENE1d5Y+WvHmLoz1TwE/PdUiE9izgQG813QQPGQ3HO
7T4gOKunT3mWJ6X6SXDMZ2bb//YFLoji8TJdx8Z1TpKAeuOnpghaLAJgnvsOpb6k88ZPcrHD2pgK
1COD0HwzR38tLcUH1xnWAv7PvjUSBBaKTuy0IO62LWSAA1FbcmatRY0pt4aXSkclxyVt+sMY6+Vk
qeuJuoR9MOEnWqKEehcrprOqTGXfgHk4DhapC73AN0RXRX9oHTXZ8kampya1nYWqQzzrayCNeute
JgNAhQomYWfabO7F7ENkSSloU33Q+947y9Y4z1Covy3jMH4zurQ5gIU1Aek6omGvpD5goh1DV509
Z+UhTnPzmGvGwgfJk24R7Pwz0GBAqjiPHtynpzErlZMJ/WxZp8jcVKb1XfZ7yqigKcEXSXoEuOCE
vpoeRZfcDsKjBBznrmVvR8ryy0EbLCRq9e5RIcKULXmQF8ReGxwlJLk2oUfHBVyiqUs+FYweED2z
f+Jg8JUJTXs1p0/hTNMcIxiOubknCnFWrg5q7b6bRY5+MA7O+aJWYnsnF7fRmvpVQUZg41jNp5oM
9pfHidNF9hef/ifqRpY88f7pkUPznKKqlJXZGRCvRYMpGM8Gb7KGq3tbq5PmlzuiKwNJcDqawv/Z
hoXAp7sLvyyBbVtoOCnBYZIsS3PJzjt+67OJvTvYugz20ht46emx7CfK0LSScTQvo+I/EUW/AJmd
VrldwVBBPRB7nYxtQpFq2l6dwYw6Qp3LwTXCjRN3O6CTQbXE5e23NuTJyXIn51ro/obfp/Iaa9kb
KgmojUzpk4t66JtfF9kmtTudwmSnXqZEh0/moXcczpGcNSdaGq1S98RZkBAiVNVlnxYv4pEgrYgo
x+eqb+6QfM1X6KLqawQOXH/hxU249/kdgFqOaZtZHFzr7ODkXkBhClmVJ2Bc49J0TIsAMFRbTNEB
A1lNbj405DupoGbWTuubYe02lr/N9MF4b8rqh+ul2gVuYw1eYYtgW4LnEUz8LFgMQj0jilN+1yDO
LjA6NN9NwxNLtfU1/gzhrczUVS6+h1IxZXz9lE4AZqfWs/cWGjenhCrw1ovy8sIvvFzbVbVX1SyB
gw02NziXCWEu2C7FX8xBBfR1Als5ps9KzgAZg7UbIYhOic3rNOuthji5gtfZ7525aWRNirTq5JxJ
tdF08KHMpuh5/iRfejVY+lCJX9thK+GpsT1egNbmZ4lf1dvQPxlO8yjHZJczzejlPm7XkT/9wbQK
RN+D+aIGJSo44S14C2/Ijj2pUlB5nfEqm+Wk0Jz5cvcmYov2s5kmqwgO2HHsvfLMTyhfU8+q3qD/
/xBD7/+qi1/C4gtUg8FY+AhwPOvWZGyS+RrWnxIZMK4hmPiJsp5t7nQYd1OQVOCKPeM9D+fAMZmY
VkXGO4Z3apJG770KKYXoryCBBV7T6SaEsEZRbeQsMXnjog78fjGFIQDoyt+kUZccbMtrL5nqUpBq
RuOrVEgqN0gQCHI1hzoCT5whBkUsu7VqK69XqenxP+yTpCf0/zMS235NuXbMTqZe2aew1ezbmWy2
ZlWSPGhmjZb/NSBH9fkKeSYPg4MOc92l+3uXPLtfqlVBtup1ledqJLpV1WANMCXps1cEyq8UZWML
j8Hv+TSwbvvKeagi8CKzw5PlRmLpzOqzsikPwPwQq5anNZwM3HRB7xxrAs+16QHnlFg4qfbjznA6
2RxnQJwDxBATFCR/7gP3eUaNgPNCtsH+4AinxUCeLcfZ40ehLEJhQC4DUfpI2LrS4j5/ER26eels
JjlL+kDvQL44IGKd4zbZQn36rxb+M9Qv6xGTSozGUuhDNZpM741jQzGvo3oZz+BXuyuCzRhhkCBH
Ex3hvCxMzNvkvsUZaPDjlyk2sJ3mHmK+B+hcIlcMgJa9buy1ouXnO8vhoFXLlsMm04IQfLycKiqs
s+gSx0Iv+KyKUaD4g0sa/+h/dbqkCheRDmLZylhv7wMWai2Y86KlNOt0yX6LhwFov/gB9rVxTcr2
YcrIHpUqno4YU4JGrrK04VfiGddoPpDo6daY+elnKbnFPm2fu0VxVJGefbipcGmqfVRc1Fak2F6l
lNVLQhFnVwnAXGqjVy+KUVWXMAjO6LBVL7KrHop1MRYlagt0IdWH3owoq4O8PDeGelMWAvX4ebSw
k8fCQU8mw4wX5wrtfH+KDk6LoaVf7IyCME+KnHnGBFKx6BqQ+dlvPr74ZxfYh7HN249ogkPgJ6p7
7CrjqTBhLMvtDnBfiudioJZW8SkuZCe5nD9w6MltTpSQ7f0dJq1m9gObdRRap7A4xfNhjM38FCZD
s667CEBewUMPbAudco48kxNlMwyhPyTBrNY3q8jd7IKltJxs30Xm5JmLvM8GxR8srIt/1Ofuk52+
gXVe6vzu7H8wTxL4ZBmTIM8d59u297IXJDVQ3B9q+JjxgGKXHU+beCgjgEuMqhMFKr8vzJ3Zu+M2
T0S0QJNJOSPJrZzlGagHHEfbueoZ2ae/uuSUGhjaotKTYHObB+7Ep/g13wx51ggiEPe5DaWAYttU
Pcqf9u23TN20G2377y758w7S1sSvdMbRgjGlWFDprL9zUYNKpYECzvR3U46i92C8KoXqbTMthMey
KCb9GmRlfQyTBIRXoYtcxxD7yKbCgParHkdmLMbchnuW4SPD+4W8TzqElQsn9L/bN/6PXlvnvMhL
nCtHXSw008VgSJ5WuonuBVbla7eftGM+aDEPaJ7SkYPFSGvBds6R7vmG0PFBVjfDRLyZU7nw3Ta+
Wfx4/9oFScefpHfyc5Qi7idQtcAjjqYckMY/96Y8o/7ed45yul8pz+63rAy7XPE58pdKJyF5FVn5
9Ihp3RJAD2LJCQo5HqXkXdtayUlS2zBY6XVoW31ykp1YZNymqAqU11U2AsOebH3Qof9rh9pTAMnO
fTUSlwfVDtdsXmr4M+RKer9sT+qM1I59nogro+vbXdmJd2/GbN/meQ0pu8kOwb/L65oZlx34+RUi
bbEXmcJ1rL3REbfiVVbbzSGP4vZQm41B5WU+nTIVTXM5dDvlIdkeZLtovV++1lUkj/+5UJ7drpbz
xsR21aW8J5lU/8+NbhNk723Cf+feJsibyaH/8ybkWyuxulr2SDavMwMZJY3DFnEM8Cc1tn3gaGzq
azRB2tVkZ7xmJ0cJHpRly25476SR++rOMv24nep7OXkcsECxDLs6TKGLo2ZmLGry96tW1etPeF/b
wB+Un8Swn4Xlea9GaSnrYFAhf3eOcc7KSF3Zvu+8e735jEeI8tVVzbfQiW8nsgd+0jdsiP03rQX5
3QeO+m3I23ihp255tSYdkco6xE1vHnBK7BUSPy+OfOGSN3DR637snVd0sJctWUpcDsjleWM2HMJK
r/fYKTYLRQTJHsqn86AFHrrsuWq8lX7+q+uj5jemFLEwnTcd149wtif06+BL931sNiOtMlayb/Kj
L03P0PiQroZlr9SE6y5y4CbW4J5adUcRWupb77dLJfXKb+AvUGsulHCTK33yXA4KdRQP1mkU58oH
ZjX1pJbfFMAje9f3grVshrr3w4K1pNiAQApLV14rCt52XbwnhJUPgdmmi2QOD/zaz1GsQm6g1pHD
iQwR7jVpEp0AhVuKuB7W2qSywAQZ/z7Zps5Tn0c27UHaE1skanZF/Dy/us2I9EGgQTKJ81MO42zZ
9Fa1dLtRfZIHQ7V+uT5GW7JVKkB+Ore/ypb0g8iUXKxEHNaLsrHiM3nSrYE8zSyunl9JTmbXOjK1
zWj/ioreWKTJoF7cMvtzMEbVXg4lFu+976iXwg2GGZiGckNiKvpOzo7/vcTXxcYPOu10v4ut9zys
++lsIGi/jOIJ2otSL3U3qT6xvMMxw/BhhFPvvbTQi5ddizuVbRifYAffahckjT760VsrHuVnbQ2p
eDBQgadoT1RVt05J0MFSIz96N8U/uOhcYy9ZSmZa/e9bjEkCJkRrzY2RTQ5CszyJ7bLEvY1k9lIz
R281ufgUuY0HStEknUgZ8BWAe/Ng9B0BGBvuj7GKCgLvUGyLIoqA88bfE7uJrkqRBrs0TS3WyFrf
ATiuFpHqDld5iEGRXp3xTbRle2nQNN91ph7i4uIGZ3mg2B6ecVS/Do2n7ppA/eYlSEZtVDWg7u9E
5cpXkuLBGqNu1xbYnIF++pS5jlRTNGinjnaqY696CrzyU+Y6ZL/pUxEvQ2R9/W5oWajV+MkyiHBd
/EZkS/AIxASOIglglWQpoqxeWcO4AxRlrdQhK17M2E3P2AN+Ov5YvMguMDy+13tPNVvdhYWHyV7M
IFU9TrWfkfkLJb7xN6rErwYyOh9jMyQrAbBm7zQ9Kxmc11OmaaTKRdx86ZO5TxW9fMPM0YY+bnYb
6r7ji+/q2zBUxrmyXLjHkuwcdGe90Hchv+aFjgLj2kh97SMo2LpaUyYuodWLZ7PyjrLf13J7G+fq
yuhVi2Wy/ZOPonil+wqfAh2IoJFVq6ZuLc2zDSffjiogln7h6uOfOd2o5zD2oIKXPUnCqA3PmkpM
abme8pr35q9BwzTMrJ6ngTAyRcz42CjYtCgiJ7XJD0z+1Px8dNdVFl/KqvbrRfAzp4L4PQmTbGUu
xKyX7EFffJBnWuWu8BqBQjb3q6JBCyIUk7NzHP2b7MtqsnQYIeylJvFfGsVAvfyjjBLLtHmdnOnB
t1CydRPLfE5d4HWKkzaLdCba12LST6EXWJ+SWdll2eykXYwPIKG1rWVB67+xGL2p17aZz5eDFEx1
ASLNqorqCyQRgmTqtM92SFZUj5p35N6ci2yp8cpolfYN7Jp+bXP30ZznuEKJj6ZLuhtgvp+g7yHg
H2yMsa03SuOH7wjV4JJdhc5BjqbR9OQ5vnrVtbJ6Y52SvU2Xdxetqj8z1MXeexMDKD8CtC8H1cjW
116Sosww3zCi4r1wxyY9yVHdLw5xI8qnIM76F6PpbxeVGL6dLQUPh7DlohH92B0S2Ro6TrzHICYp
6g8ltc/5BfFTE9B9Ce3kKFv0VVmoP9CC9p/ysvYXNuDVl1LAZR1BVvOYbJD/CFztVIDk3fPta/fB
nOIpg8DaCFDVV6q+E2o1pfZi9SCSPNdqvqEQ982rXO2nO41sivlj0Cl/xJOLqFkJFYDYjf+VDSpF
Oif3ESEKwMVnffvkh4O6ttWse+gRMd/lFDFBiFdXYfgfgWmMn82om0tFmXo8DKzxCTr5t7It//QD
DWz2GrKvVl45124I92NcJOes152r7CK808i+6xmOyfyLF2TSaxJr+biy+B/f5miimHEPUXj4K7/R
ZPBnVOWYjDkw8jnjIQ+TL16hfJdrDFwRZEzd3jm6KcpuyGiu/DTxUByqOvckPV6KeIiOdvPk8ay5
ukWG4K+atV9ZwM9YVO0vtcg+0iqy3oSFgEHnOSRO8sg7FkHigTBr+te0aX47k3MZLAeRn7RlVw+F
I1wKrSm2YZtiSAavA9RwAUcsp0Yu4siH8dr/6oXa/XSrETQwKYpFXivLwTCsn0ls/KhaJfsAIdiT
Vc9JH6JWsMKvaOlWItsZnd2t5AbFhPe5m4APrToqk6+GP/wZVar8wQomyLRztaeq8k8fRftr0HcE
KKwoQU21Z4CzsesjEazLudoTuh5aGvyoT/wjuvcx3sqL1RRPkdTLxbK0VfOh1YE0sM3bizIyFmIG
DjkSQlQPvzUNIJU3t1ozcI+eUL/LCfKgz2ZcSd8hCzBjlEB4Dg9u0B3uM9QOYrgBxGcr7+Eafv/Y
5l/318DxalqHAX4V974oY3/oDgE0Sd5KVNn1lieCu5RvSvYFvoV4HlpisoWBQf/Xe5d9GSnkhP/d
UV4UxhD3XX24vXfZFWcuMoLOPnKQL10M3nhBHKb8pkF53OSRGexks/bDVU/VdHkzvmmpCWAioX9A
HE133tiXs6eETgbBy7a2Xq5bwK/PcWRNu4Sc83aqnB4ubf3SREn2Y0TUdspV9RkqFWgev78Kaikj
xClCwSqfqm1uWL8moRlnFgT9dW7pWDLcWwYRGhbCkbUiSiW6zckffrhZ+GaiMfussze/IoW5BVVi
PcuuPO1+d0iKn2QrzNEZbiDwr+7zB274havyda7RPyn1xLvSHITpneFjyqt6AX3a/cASqi8D/7dI
0w+B4M1HGEEt14SaPVpxnmy9tBdYuZfGauwrAdQUmpxoM+1N13p/p+ldtQJCo77p3hhs1LK3N8iy
qW+sHeZShS6zl6NKy0bBUE3rLJuIomxE+jDWYrzEQ989x23prG3E09ayOcEivbJazQIK3bPQ3e4Z
qydr4SVYEZTR5O56YFgPzuwyIM+McRwXfQuaLHarSl/IkXz2HUDaB3vKaJXhwn4cFRdDgbitSa4j
czO3ZJc8VA2MiQXsCG8WM+dXSj2OMkmlXUtR1kTC8fA0BiMlmsIMz33XOntk0xAsVQz1oaisZB1D
3HkRaPQsrCwov0JDP5FMBPaV9mcNa6Xfcaq8jUINv7U5ygFNZSFN0rs8Dxv/scos/5GU+7AccxMm
wdyUA7mZvMSEZqek0ZxthoArCrEa6bwMtIbnT2LXjXjtLGI8MzcZGqa3YYCE6W4G9q3GeFynzkjY
0YEdabCbeq9K6BMJCelHlyB4g8hwcFYjC/QsIJ5dj5OtSWJwNUlBn46w5sRKexAoHlwsrfAuFpuW
VQGb9JRE0U+7UYdLmEXDa0tiT0eW+r0HGecoSnfLUAfjiEGDzDjfTrORHPIoonSp+5q3NcU4rTwx
mjfX7iEf4sXUoM3O3rJ+bpviKNl0tVMmu7x7qOInzVGQ65nXUWRF+h343vK2ymJy1e+8TnHRCExX
5ZSG6RlQO5jHxGvX+dTBDMxV0wexDnjOsqfhHKtugk0GGJBMiU9uFHmbgGrgNVe1bDVMsXirqZnx
9UrU75iC7P/UvVXiCMcGupl3+0wM4XNvlBcqLvZZtsiYWTvQ/vEyYiU8+OTWV1hgA6a0svyGRyS6
jI55haaSRCYWHRJuililpBINZIC6GDXXIL+gvbj3UxR7el9lAZ9pFBVimQuAV87TOPdFffkVT0mI
agVdiYv4gI/tKRx0BuVVKYmDhZ7H35JONx6r/+HrvJbjxrl2fUWsYgLDaefcalmyJJ+wPPaYOWde
/X6I9rg9/mb/JyhgAWTbkpoE1npD7B2yfuAAn4ZIfkVZt4Bah+6oaMULGq79qqqqbwElLq0beX52
sKqSPtG2cgj5BYz63GRweNKm6w5yVBY8a2UPFjnSrb51fqxHLQi55zRe/rGUJMduBP+4U2LPObhz
A1jXORhq1SK9LU5y5JvYqmCRx4RcV3glY4sc25I/hGymH/gX29D8C14O/qVkI8fvC/CGjMlZNO5D
dRGWCLsOLS9IVR0CdSGncGDhiDyWCpK7pbrIo0jZujNWWp2x0lWXm1gWDN/lSDbNjITmw29xjrsq
ZcaN0UM+4lCjCZKMURGsnBpnGMPuUDxDMcVWGtD/hZFs4llqunGdfm00gX6SezJNNdKrkaTawg3S
6YvR4Iqg+dTZRqX+OUEGD3edXglg9SS+9Z6o+rR65P7TOEFSJwVJ3FgG5eU58d9n/MTlkpid4iZz
khBPQkS92CJ2q2BKp6/xRLHYc5J3iuT91phSsVWNTH9L0IGWC7gQm8Zw55ew2tCGRPC1iscXyqDB
WosxpJLDhr/c3TBRgKd2OL6ACiku0IhJkRjDi1yBlCM7P4oy89VlXL+zBTfOcmSPnNDsOhl3XVfw
vG59c9vpAke8uUHIeaRQPoXuwWR7fA9OdaFRp9GWuZUBDRgm+2aVjnVDKqtZ23nAHsnL7Fs1NzVg
lSV0tHRnJvxmllaXPQdmV6FwyCwytOkOfq4GaTD9lEahQ5078C6yyeKaXmPP4OsSOBnwuzlJQlCz
+7WobPs5Mg1nZzVY8kDli99igzQymtTDTg6rBpvc0oyUsxyqlruAd2K/oE9iIrzpnqjJR2/IP3dH
hTz6spzvofqWtjF9DIT9YNwOXR6/Rpn5knd2+2w2WXwh/SXQyRXqRzBCstJMiJnFOJmfqto+y7g3
Wohb26h2NmO+KsioP0k0tGWh/Jxzy9UDTi1MTJtQQnySIbnCaMp8JS+QsVHD0Cjuf19hq+rPe8gV
PSvCecXjU+Q95KST2NEC2lh4tKMvA48h7Fs75yhsx7qaM8uwKdAhAVirH6x5CJc1Wxtxq27i2MAF
NwX+VJSqcUrV0qDygvRyWg0NPr/EHhOt7/1covsaQKQB1tgCYB06BL8ulr0/rpMxz5r2hVm3+9Jz
kMrxc5RByNXessz7wb94/FIaCoWVIW/Ptl51N1BxP9I5rgTwRagr7bIi01dRqyLANkLgImtWHLO5
kb0Ew/N4I7tD2KXFYpItP+3i2BpCc/hMxdqZPnWw+aL7ekvDkU+u+bn81/g+T27ylI+cAX0etc9+
AOhK9ii0/XcvaGvrGT7Mf8/6BWZDnpJMC4vtH35G9nLsksF7zVGbW6BDrh5tb9nkcfBl7BttawNB
2MosFEzQmmzlFzudzb9UJdrKJNQ/qyHQ/Fwtw2gvNqOPw4rrqVtQH/FWozpMggnMLjd5rLZRHHmP
mj659jPQQZvBDCMu0VoKMs6YRzIew4Jb1kKUm6QBrQyAVfF3mIYbCzktG/yEiktlsX/9dZmMK3lx
JZfSHTIzddd5WCZr3UnL1wTztp02UbIj61y9mmWt7Ns0KEheMguBgfKP0SCEPM+qadSeEav5W07a
+ItdVae6CXViaYhhi9l2WzkXKxrWbT1qk/OcDLloyLfu+GLMkVHBq7cU5bOcErFyCiI9eWoMEFRs
btllzgr7f8juV4AjlKXmY6BOHWZvDrX9MYB7WFDpM57qYaiu9Ui2faDg85EHZbfsi0o9OX7ofOKH
fZHxCCmO9UDZZR+HrfLO28rL2Ee2xZvRmuSnOup5Qw/WmQzGrKgdg1mx/eJNpc66ihCjWZP4ZAOo
DbgK+za1AN4YN0cF5m5TIl26pbB3mhIFL7JnIXm1lLONHTa3+QI5MuYVuXAAcJXmyZyQmm98F9y9
M35SLP2gx5n67mt2iAN6Z63lkCdnQDU5ENeimZzngSquUYvpfcBActsqcbr5eVXwLVW9+kkvzJRM
aXZT55uhqpJviyAfN33iv6NfZZxCBaS6G5ovmmNlaO7SCCc218qA/Zgcygk1UX9QVlUOTsw7RVUU
7WkCOPu4CD8UfefYnKRB6+TPchlGIbPjN8jx+1XzRAh21CrS8CrvbdqBfuCAgTzA+F5TqEVHJIyu
DVWmTxw/9jI+9GaNaloyrmOhTKRGUeqPkeG9Wn66tHu7Pfdj1wXreVgOw/8McwABi7jhW5xqvHPn
BEOeWg1lubDmNznnG2pUTYqq6M8FFYrPkfqXTDBw+uaZFCrj0psxqJneR6veyD4XMUJAeu+uzTC3
rk5T/uxpc6xKXdDMovg6NMhNyQOoAZzaUHSgVxBSnuFFXmTYUkaDyhWcZ3Ke3zVE3kncaLM7hO6u
YGMNH/2QbO1Mj75rBi9XI1CaT3mWj1ty0fc9WJwKxBSnyRMkm3Qyc/0lJr28tcsq+JKnK/k8t+Io
3raQwe5h9ms+BORVP5QWJVx/YZph8WZrqXe2kyq/D7GsC3YNwom46WiXoaEcl+Pq/uH3r/KeeDei
ajv05cbniFZDCj83uaOuMeoiozQPMcprJ7ZRQGdMrV3z2Ou91/GmIQu5UKcWNV9YjoMH5m8yMNyF
zZhdRiN18IE1wDE0kH2nMeQ32vQbCVMVnsKjDyn3sx+awdW2jQgIBtmuIW0E9kiiPbmpS6lhVABJ
t0P6KRjYb6QM5sisWazlCL86lD62U9F3b+9qmLdvSG2pF0DGnMLmYOL1Ht5+VrOWw6xDb5rqrnKQ
Q6oUcOGpG1jlqzYLoQgkgHh/hgEu10vqqu1XPN+dtdd64z4sSuXFxgqvo8b51USjMMZQ0sqSo1bW
9uc6mRDhi9pxEaFdsdPgnW7x0QGVO7rVWVf8gYSIOOE0n9/kqPYPgJu1V2jm4rkU+saI2uFzXlb6
BYvRb0PYj4fBRt6g1bTwBmLXJUNr2duuLMObjBm+qFbARgwUzFgiJ3p+VBvP4W1uA3HyUTUbml0p
TATJ5zVyYeZj/53rw1vAS+AUuagWO4ZTbKzEDjagstGHB+m41vlqDjtnpg6b8HgOhdVM1roQpYb2
7a+ppJiAiWVYRgHpCPNlFcNZIxc/4IBCz3TIAC0s2cZzVE5lQ0w06sefq4ClvmeAnTbymkf8v4Yy
Jshp7HSsNJXe1I+6Xdc+Qn/aItKR4TPzTj/KCUrE/8zKoD9OUI9lVM5XZZzuIPue5GwuAuOoBQFL
frutXC3n+wwpfwPoPjz2qDoXU1OdZS8xRHkuui7dBhU0eDlRk2IbkKD518I2fMsjpzx1qfPP5G8r
zJEX/5zDlveTE1SfxeTi0xKm+QJaZvqticdLmIMzDSEwbFzqNXsDItZ/rRAxdJx2zKp9GpjjM/ap
f95DrpjPFPuy9Emp/++n/H9X9EV/4WhofJYr6vlT5L9DfooLWvYcaX3HhrmbFiglz+6aqv5GXqkq
TO2zOVjGhT0uXC5qBd/y0rn56uh89nNycQJBlGNiDeF1zNp95I7ttkEWhEJ12KzCZqyOQ29XRwgw
P3tyKCcyLf/hJ9TScNlYFEjSvjZUNa5AMb6lPQVzTF+TF3h1R6sEqIyae7/Qq3Z87eZsU6Ol7FiK
vtw6qRiOIq4Vqi6tmJ1p8quyq6xGO5sQHs/VO2cUCCmpGWkIHRjaOdcw56zGat1mXnlFMc25hpjW
XEurBDkYUVqVQ0cLT2VE3rgd+W+ow3Ov2elJNl6DENKKf1920ubGHdy/kf8oT6OehIcAbD8MAU64
IuibVWGN3R6hae0tzhBD55VDzjMwDgY/6UU3OSf00dsPaK3lJuxN8Jp85z+yvFvC+hGfu2BARqQG
byiX9WNULQpuckU/bLoFZvkh1/u6maxLN28guXF5svfHsPxgVzvuHcGRXEbz0vriOl19w/dnuJK+
wshg/my9UZOVzbbuUPpm8DYVPhxrtT6Ay2LPMNjNJcHM6RKD9BdehsLCPIrmRvYKIGS4VlCm+Wfl
aKU/57x4FChTTk/ahBxKqicbb1LNg9K65iEsU3HvPWJ+DsphhI6+NvwmqhfWqPmnSvH8E2BC/9Tb
FHihyFO2jobyqw4ZN1r95xoPVehFTZpiHaJAOe3lItmUwGjvjqJ4t/mHbjAhY2WRMdzNBH+zGayr
8sM3cYG6r7Hc8CUL6vKa6S7iJ0knLi3oLFxQxw/Ro3wJIRdzlqIODo7XK29B8d0M9O9wb6Bg2S0K
pk0NjsVwa2ylomTT6+aw0WaUBMmb5MjW4SZ1ZXLdvaWFGS4z3Lcvj4YEGTSpEI0Aygq/T8QITVw0
lyK+Fd/Xy4i80qonQc4eKq0cPibkPXScoeFloF5TmUWr39fUTq+dJq1aysWjA15yIbtF22FiDQIN
Evf0OUptb2s2ek/RMYrhKszdKPCHUzA3GpTupQ7resWODeEiGZzUSmQrudJrWmXXWPVRjnq1GE6P
O/x5Rz+sX01Ng8Y13/p+w8dHhdHKtuzkgBV9dzAG0LjsmMyFVrvpJ2FDokOtqznIITaw3oFHRnaf
lTF/7N80tdRXnZpHJ+p/b1Mc9Ue7srC2AW5/GzMbOLVTXqYueGmSFhO+skQAN5rcD71ECzuw4+IJ
/Jh6tUVVLeRE6ZA2bDxVPak65nLTYHbrrjC6w6Opfb//bSgn/u9YO1/xfy+RdxGY0yzdvOwwy3Wa
W9APzU1v+u+JNnmrCEWIYnZX/ebotbGbhw7WGQhnAdDTx/CUx054kj3ZqKT8/4zJJcoATC5L0GSc
r/qvZX/crisrbQ285U1zp1M4KcZtSCrzBghj2scU8ZBLJSYbdyj1DTaF7pIEoxIu8carZ9B4uJHT
oJuyU+yjf2j1boO1Xqa/TiSkQZ2kX2PBeaENo/xkkcW8ofoRUMVkotdQbQ7zEeS8UpYXSjbx0oAD
8tWZ4g+1s4FrhCAwEh08ZWjHnA+KsAOz6rUZSjclybO40/auiToKjmbrstaakbyIPpERq382SN5A
bbOL16gr2GE+JuQ6z0OoQ3MKdGN/XSEn7vcCXtOt/BTE6B93fQyNEvuwGJWStbxDriyaWvMPMTnC
aT2MU3aQzX0MiA7b57mRwWkgI5xSnMeEwUNx2/e7bRV5zjZQigg1FV1cxrgpjiWI7DKpxcVGhdFZ
+fWEyMxQZtv7mLqVth8L75NcM8yXhVUINtDQs+9e6oNR8YtmVUvGhRmFYAvMZlvPjAuzBRis8upA
xArjguTXLBhG4z5bBWWzFSbgpmgqvMVkh+apwEahgCAsjJPKw2YhBm/c1A6kvIUMclY3T7KXmQg8
eo3ylKZoVvYqUgSLquD8N5+I+qOMapX+szeoSbTSnA4fzXEUGwz6PhL+H5WWzEA6obtLLbeGbQrm
8FMdVuYSWfNT5/o24lVKoRweTWHbP4fkzD8VVoXRSDopzxNPdtCS4XuSDdm+zwRuYPNQJeO8zNzK
O0ZDNJ0b3QUVlpB2mb3WPGdqSfFl/jVHt/4UJyh+GrYafv2PFYC4Zlh4Y1OZSrKNQuLvZWj46bm5
UfwdtSsR4+aHbF20yJWmeoUxxnfQVYdTV6EV6mTTa+lpzj7Mwv5Ezao7RVb1sydjjiHaRe4WJor1
/yxBCDdFOC8NOUGj9gd1Iz6hTNbuytQ5WbPEn4zjJwLY7TGW68KgR5OnM/dVUyIiZoRxfnZJiwKX
Lpb3mFOq167y1YPi+smlm5FxkkFTGWgSRIrSbCRVJg0n1FTbsrkTanDKG9Ixe/uvi/IxbTfIJXC2
DYIYaRYKw031V4XUzbUQySDY+PFR/4SaOS5THWQ5EEko8okaf9dTs3Wrz0kb2NshMX1+IgyjEh2m
tOidjRyWiR3DsqvwLJtnc4SLFkEjtKMcaqr7VxDk02W0VIiTU2UuHLdNdgCo65dYKb/KP4CkMd8h
As1lMsPdDlWW7MpCr1+CJkdwPkNrJmzepQZ4NauByyYtEAd/xESXB2uqj+biEZPrsjjm6aaQQWuH
0DpC2xRH1AN+9jzTNGbuyRcZGqx2RbIfHi9+l9L5UpAvNTfObILZmgo5e2dCoGue1nofcO0w4Lbs
fMeNtszWKM7bC9cW5daq3dhZNFD/LxYyNt1k+08mSn5HIoeHEbJXpjy0Z4vkrqnbneLX5z+9kqvZ
K7nrxo1mivJSR6gUK0kF6MkS9TOFvfymOJ9aNWmeZQSnMzwAuxEK0bwAuI44Cr8FcgirMh2TAl3J
fLjguTlcZA8KBaJhwVXr+bcahU6dX3bJ+DxXbt5tTV7kdTog99F7JAISlB0zOznLnjYP48T+zo7A
W2LRjn+hqoSL8S+rxktiEasj2EC+l6hor0O9uY1BHJIPQ6srqPuahxuyWLIZ517bWu+VD0ky43FK
Ib96S/DE3HeDsKictVR13PBgN/pwC+B4nbMJ3rvk7EJS+qG65c+4zVEacK5TmF+rNF7VnKmSKovf
01qzSez4iBX2Rr4VahwfTWX0T7ZhTRt0EaiUW6p2jBDZmM1K9C1fBPG51W3US0UwHeXQrcTz1JHy
lCNOZJZbQTZSC7GNYh1wjJ82qPm15lkyRq3asfahXuYLNaun4aNUjA0bP8x4hGgWWmYEJnnKWfrA
jjjKLAzP2wn4NrAzEEtHZhSgp699eE3z3rmQc4U/qoiCTNMin+MF2o5LTXQDr4M02aotkF9chyp8
/dr+1UXgaBlVRnmDrBlBqkqXVeUj0xVAiF7wnq/2baAOT1il4IkuinU5U0LGMQ5WmPg4O8xW/EsR
YkDv3qwii78KhWRMD8ZlrwaD/xmg8qFDl/6rqTrKEp3L8QQbFuFCA9dJ0NHT1R5QmfaH9tAkivXM
20m5FVZ9weQHdYayNNYZKhLATov62pFHpmBLD4MNmC2eefLdqb5Gox8BF64uam1u2/mb1Ixp8CR7
YL8BgtVDsJbDezMMwVPfx/wFIcIhQ6kBNcmKK2Wr57hT9t37jAaAfl0nqxhNqQ9QICqCdVjuDYPl
fMoGm78zUHxlYSsb9PzQabDXEmVUmSq2glXsYH43TgCFuuSgpdYEi8ByNhRWq7s/goyJenJ+s/6U
sXConU2LaNPSNCmOj7VtPleVs03JUV+DrmMUBchh2ypuPloeZMtKJ6OnZ4pzkIu9HgsDNJeflSnc
j4Gb5Vc2CSiPob2A9u18xHHhoG9jqfGhl2Gz0wZK9zm51I1ZIB1/ZzHnkScunUF9/MFsLnk5YAOf
JXsZTLxufMKV0UcZ1ScVjCIncHLtCrWdpzyYJ9B5ThlsZFA21VDoVz2aPoOACXGVZbHZQTcf+nA/
JX56rigLHjqkJPRCT86yUX/17KZOsB5gWYyXBjTqsFnK2Ojb+oY/l2ERVhUMN816s9FwcXjYgwfW
auw7zEoXO3mglGdMV08DCqAZDNkiW7W1Eu+kDk3TUtSfQPgjJYgsjW/kYtfyRlvKoWco4qj1bE7u
w8kuqIzFT1KzBmmws5Hb7bIJzy6e8k9toWjmosg6MDAkU/Bm7nmzGl7C37Gq1hsZvA/nWAiM5tqH
IHMfE7hl5CcBvDT2Ju8oDSdSz4dOT8qiWZuq3oItmhgPI48xOS9X3hfpdWpXfI+5tAZadF8vFyEs
mm6RT//mQ9tdNX4Vru+S7WHuvVcpJflCEfj3DB2+jTVE2l+S77LXi9jcJaGHB1k1C78b0YgTpTDY
AlwLDLKhOZs/AKMsOrjU390EaW67aptXteE1KCCCYe6l80erePOpBp++RtThizG19nkU6osVi/De
IPm88XH9e5ILrAqF1N5sMU+YV6AgL3ZqK7qlHFZBZMOoNNdy1CbWtPAmP9w0fR0e+87jD1F2CxTz
jjrqlxujjd9kSDaK3pgWfA9Wm532r0se1wFuLVdZCgMqRioGdtWYn2VPS2tMpi0jWj9iNZWYbazr
Yt1iRRSSHnkvJyM/WAMmNtJ0hLp7gNauZpx0v4teW2DmcaWZh1y0SMaNoxZTYPBx5PBGbKbtMrnK
GK+C5JqrWPKVVtSvUDNKrkkvgLNmmV5uFUDLC0eE5WakpMRfINubfVvuyXV+lQh52QD447thlNc6
i9rjAzk/5sLGgIwciQFYbREZDgU2snNHA3WXjeUZ4XOLl/uyGWzjS9hHx8hGvN8vK2Uhv4zyS2sk
0Y+owzdUfl1l6DEpv9F2j3tKiEKHnIzgfS+bBCNXbUYOKknHrixQusugqt0ljOFcLFQxvoHEC/Zy
4h5LYTJtbcU/QtV6kqZ06exMpwPEF26vsVuuEbPrFW+VCBeNwnmyi11O8C6QYq8WOto4Il21+pDf
5OK09oxlkUIqkottJVP2IuZ5JmeR0aNSDGvJGUna9xZSRpZSAa8QSn8G+BmsUXUql3f6lQxmVjGc
QdAvwGKLNz0wv4zGUDwP1gCyAiLfsmyBgv+Kd3McSV3idWPtOqW1NmC6o10vSGIUrojQJqQx2kFb
Dh4/YQtN7mfD9+tl4KLQC4uVB1qgZZs+tbSbbJyyEoustfpdmxgUyjQv+WKAsj3ehzzwN9C2cFFS
W+0GKa2/uefMTPRbaja4iJF4WOD2g9S5lle7uNf+uo/mkK2nsGTmpp4nFXu8Tz7isqco/m+Teul9
UOkptj0qGBtNQxuDTY991ueGV/zPXjW6Xx3YeCelDMUNRVPMcJPZ5G30Y5zfTOU4DE5xzk0daM/c
bLU5gSK7Jvnrcy+soxzJG6gIGu9Va6oWPPQjTvg972pkPsPVfVz5VkhJ3O828prAMNJTFvlvgQiv
YmyjJw0p1Vff9e8jvbN0OdJHET2p/xr9miPrUS4bW29XTemEswfcuEbtzj47si7ZzCXKSocmGzkW
PERG9wnK0ojadiVK77yq3BWmFIOydPHlgkOqdfnN643pKPLQ3xeBs5GjUeNcOHVfeICgbsnm4EnL
YoQ3wLHuWvgTt8a1IxQlE++vJEGirneav/NMXSSJ9XeTphVizQaUkcDlbeO2n/Jc7z6ltrUGjal8
hnEPZS6hwjTG4JlQW4YXkWNlRQOmuGxXRpjnm5EN52Lem43N9CE3310QYnc06CF7U2GeAbGm5I1Q
2KGiDShjnqjjCA3bLv99wnGC6LcrHreSV/Ae/uE6irHHp6LcW3X7GswKYON8SolMzikLk1/fsoj6
2QrAz/ZBK8xt40JJX2G8ciY1Ex6ElnVbOxUIu+ZjvMjNybuUKE+8zjbtvAxISwyxOGSWJ6jwMuw7
rKWBC6NkpKrfEJcI1/IYhW1wv0tmTZ3HSSsXhbWw48lDLZuTFmqZITqjCznIYv1ZM0NrizyUinjO
/EKK3TpYuYFi3mvCKTYDql6lV9h7xudau0drbfDJsmOcIKvAuqb020Txxb1GHAoM5NjZDrdpIMOT
ZEZ/lk2fBcNZtQD54cX57REvITGzP/RPsZ5Gt8BZdkGnPWUGuknkGUcUWC31LOdkA8fknZ2icpAj
BZLcbdDBgJe1D0J/voVssJw0EKnF9bQKxuiGf6e4RhbEjsoR+A/NvDvJwENJfJbOf5J7NL3VnF0e
QQhqjV8C82PZv5MhyNlBUxaIWihQpWs3G0m3lg0Hi6+ZPWlbp0Ca7RFHLoyDqqPaSzvjpY53W7Sv
SLS9OipIPB1tVJAcDNsB0GbjeeZWDi3fSOGsFouqqw0yZVGnr0zRVUvI7LsYY6+j0Vg8rKy49C52
rHrLPonDtaur3iXjmLVplEbjLRgEZyergrPseVW11XQV2bFfccxA/HOnGjNYpz45PdAavxrfB7/X
dmWrVpR7GPYWUhVZOxiXMnIyPOfDXT4DVJrK/7lM4lL+WOaxrC7QFSkaTsS9l25r6o1br/SH9wKY
nI3mIi5mg79WOhFcTH7aa8wfPdSzGMomNKLw3kuSID9URXcs4jxXf1sSz0tQJVk2cVScHpfqo8O6
uqVuZRn2e2P3ZnxWgSqh5W48T8BqnsPEPSeTbryFFFP2DapSaN0mZ3uWQ/ytmYnqXuB6h6TLOF/8
M5nP0omPYZchYk1leTbSZUJrnR8lgjw7mVKxWweiij+rG3IslE07nw0TLFdXAGQw5psnZEz2Mu9Y
Qp/Np/5mzXRFzQPhJjzOGiM2TvmyACOfFE7322zaFuZKlbOtD306i10EQWpyMmryjLRnt58oJ4OK
zBnODeCfYtVXKOI9YpQKbxhNmiSR5mUF8sa+pq6H+R7yRgh1oPNrKclyCi1QN34JSkt6mimzoks8
S7iobdcgcEeOd6FDc9y4v2b+XCPHbeUs7Akyh98gJIxKfHboRPhNjlTHt57avm34ci6FqiE0PC8K
yexgBFduI6vPEZsLs3Xq+O5VNoao3CsgPYSeyuTkk/o6VrV247CYPI9IYtdz7sD+kQt3peACghhp
g0yEM/v+gOOqYYzZ6J7B1K2P2tyoqYOiz6x0lMQF6lPOcGyMNn3ReF6s86FX13JYZc0amr+JnmXv
bD11+C7fovIde3+7zi9V3/nsdZb3JRrTdYBjOxY7LlD3rmz/SlGORtE+nsDkk+Lw3AV0jAGCr+UW
S5GhkIBfuhQWRISaQsoQNFs57OvsAJD7KWwgeyNe67yMbtyto7Cpz1GToecNNH0bW3VwLRRk60M+
hbyHVrek5N0hW/SRaZHLJ9Mvh2x+rVO4auK4e8difNEngHNgsGgneDR80ZyBr37eZStLd8tD01kh
KpYG3rAKZLNMU82VPGG4qQ6aBKQ2EuX+8No45f2oEYKI3IeJ9fsyM4X9OxjmuFUGOPgrEALGCVUi
fYZOvslRMoeSJhD2Ro45+iD+bpX2spzrD1STXXDP2ROk4GQu51n9TMHSSaiUEMzXXapM5N4xRtsH
s2NWx/amQZBI1Gso4dPCdqpCnOWUbOSMJ2AN+ImPK9YjKJf/DPqKixhwg4/Wr92n3JGa2JUeK5Ut
pST8K53fHzmhbGIjxTtY7lLlkjl2X/LrCnPM2dA/9rWxXyMkr96cYlz64aCUKDjryG6bnmkcH82f
QTCb5pG9B3pp1Ac2cuE9Nl8HsYVboFXwrxvd72E0ot2wo/52nx7mG92794+XgcCD26JOY70Kakep
FqIRyrGNOx+GsxX6lB4Yk97TLMRSHpH7iv9cXBd6s3X97qVIgVT9dlfqF9amSdGYnH9vg/y9pYVb
nUKcHlYdzkNLOXP/jcpuPk/LNbAiZvJClBurDiL5Ugb/vJEcy0ZOa2qIv7PXhUt5n8fE/WZRiJie
rn8CXVSci8HepbOvzKNJShw6s/q3iA4j18Qk4PRYVNQjnKi6MHaZNJ2ZbxG52Dlknu+sizkmJ9S8
HTd8ZzGv/fUpWT9Oe5KbMYnSfz55QHFT/mP8qgOaN8QOJJbkrxJDzxmFql2yptUusucnKN5lXnZV
KrNbokXUH3LXC5doHFR/BZk4qByoP/O677eFYsc7EiHGaxj1V7kgVSjhD1ZwNp06WkudHZVzAzj0
WXJHwGc+yp4x9+TQ9U6TQMsqHKLw6FYYOCMzX1AODEuDfmyVn203HzZyXuHWRwMj9INCflBKPprf
M6eNz3XtVcMCB14QY78kIns9aRepj63ZYyIIsDUCDrsNE9s+YveJubPD3glhcb5CRgi0XQbl9GPN
Y9jXDXh93lzUX2x7hQEc0g51Hb9UlXHTGtv7MmJ2v2Q/p55EXbJ50mp/AZdO+aLjWLowBle92E2o
L4XJds32LLT7tKREdPbdTZPkIiOPMEa/67yM9ZMM9Xn/c3mGp+6QxN+zxgg3j2vEfL9SaC9DPkv2
zqPHvbp8+NFSSVMCktCoVOZ4O80rphTtbjMBdG9X1GfXmm9wNLFOdjz2G3223jJ+WW0hE42wrUXS
1CB7cm3uZlqNGPccFT77kUsSwzIrlSrP+j4JViu6eHnxMumQ4O2kPSeBqQ+LyPGjNa+ceJt1T8k0
S8citHfRwkL7mlkTiln4rvBChMIf9alzE72irPsotM6cJdWdH3HCQYRm4xdxYAaUrz/yHIcEip6Q
4iC0LSwzKt2FgKb6xPnvyZ0MfPzmkWxM9BGA85DQecTkDSyovwF/wJdHHParskrKUF8ZEQzIqRh+
SPpUm+PfBsYt1ersrqsmw4Giq6u8c7DQnoJ/JlLsTf+1FPbvdoy1DmIaCgymif8VXovFcxLExXOO
uvPKhbO5qScvTpYUdy5gd3J+dswC3UCHzSyA7jCSobIyKnwiK6jycoWg2CWc5k1+Z+5fqcnRdYAo
K28cgqOMy2/V/Zv2GGstOvNJEIZLF6D8bWyQJwpjMaw0LeJxOsYYDWHdlW/seVquifzJWYQhsiuq
XwPAiSLtBj/+e9i44Fp7bQQL4vlH/Jvrs1yRGBxDkTY1oZ9qxSnvkaOxI+o8cuiUdXHqUYA7yZ7Q
AS1T/v1nHLtJtBN6/yQX10acNQu5UI6j+Yb3SxS00cE3YKanDNq0xV7hnHRqfJRN37k/e5Ai/yf2
x7rHkj+u/WMIKfO3z5Ef0SpkXxePdf91q0BR4QMAde8VfKdRwxTrHqWRDwSMDlGSOC+t66KH0wf4
Z42x8lHE/Q/baoNbZrQoJYM1WMh4b/Oo1jgZnOMqbeAViM9Oo3sfolanVayp4yF0huZzpJX3+0dR
CZqtzZStvLzC2LW3/x9lZ9YcN7Jk6b/Sdp8HNtiXsel5yJWZTFIUxZJK9QKTasG+7/j188HBK7DZ
qu7bL2ERHh4LkEgsEcfPSb5us+DvquwapUGjLuzVU6xr2QVubPtTF3u/xYndfeelOdnxud0+54Wf
Xl2wJ8fQZaPJiyIDPUmuf6Itpr0+18UJDoqR4ILCPCMnxTZIZE3nWW9G7lF1ziJukH8p5sq95GU0
fTAsQDVsP88np0zHm9jEOfqczmp1UbmknkatDJ9GYkbuR71/3EyS6wGC7JPcs49SXJOd9UGFVhDy
MeBJ+4R1q33p1CUsKs7wPExe9syroltmfIQiMuKejRw5BW+pDMJheIYVNt/FlttfxZYUrH64CG5J
SfrQ5jg8KKHREzjWh78YZX0ZzcL9Cjge5j6HIJkEtbevxFHGZfTLEII2Rc0GlItir0ngoPugGIgs
Rq6ZwZEUoEbTwhnsKF32IIlUbMVemab7pHZ27+xb0WVf8MTiEwx5XvWHUnv6XanrBDFKJOOSxH7l
HAmwqPd947N6IDUFm3o331Q5FTy4DmKL1PaPERwPyrDVr5ppNjaMSOb8YWERr6tpgb5HMwv97fxB
7Ip207LOehSLJHGXdnAGpvwjcZJE2vQeeukOgPljgirRbkx9+wjhV3iDL96PvuSz3Z/V7KiCjSmr
KPolC/XpyYkjRDwoGelYvXSoDi4FSZC+O05sk32UEpv6v2ismz7aShf94vrWtGM5vkHPNX6Ykr7+
NHHXzh3+HyV7dggeTtmhnVztK/o88c53jPrJceP4STcgA9Mj7zwFM7StqeXfuh9J2/T+LUus7jK3
xlVKUknshnJzgtrugX7hImX/lwD2tdvmtXW2ula5cVMyJ7lsLm6RAQLJi/iSms6noYdfwmZXvBL2
85GQmraJ0z88uNKsuih+dSN4tQhUVZ59MAcHFZhwHk6QHaO9+dVlD23vIgz0ELR28clboM6yT99o
M+T1s3dnEZ1ynYu5NAj5mRznVPj9QOAqsjIEFvuf5voEq1L5SSyTogMiB2h1WetSM7tTS+JQ0DX0
P6Gb7qG5lB55eXxtbafD7808KfvIIiiC/6OpLApp37WgrK9EX/lPnuN6fNCzoRaDL+ZPRtFZEtj7
k1M4tcoevmj/odLbo8tvxwtN2X5O4Xi+rEXBAwVq/5kHLbJiSyCUN0fzUW8gMdBbRJ9d6Gb2k1GE
nyRhqeukRanxYS0tHsTkgiRcPIwc0ErgQztfgR0CbToN9zVaPv6cwBO9lLQyYVHTWrJvyt3oDPdb
k60afRGuwnACKtAY93WcaXced6Sb37XZTVlyTqyzlCJZN43JgnN374KguK5F8WSDKl/bmESmEFNT
37f1PD2Ymh1eLNV9GktlfOiqcnqAXHV6yKwKCE4UtNa5qdLfPdunKNXiGLQh0Hvt2Cd+dNJaeLBg
hkhedL8FAToof+ipl7yIye9Ywsu96VlKbmuzk6x3LIUu/j2Q7XPfZqcJTuVjo4csWQK9L++5HcJw
FIfQy+dw4tYTD/62iJnqUux0FJxiX4edaylCLOQuz4e1UkxZ3T36buQ+Jh7bJKGhJaeFGeaXtH8u
7M77lM/ozVa9d5KlBtX6TXPAr9qASW6KUiZ7MQdWlIKzG/qrFOv6t26C5IkF+Vcv2focDCI9xWtM
h+lX+mpLuJ8qUHBv+uICgSuzy/tr0iHxonW8mUGufWPjlAVVw4PthpKYJCdJArLrlmiVduvM3ELy
JHf3ddGEt1RnnT/T0WhY+NBuYjMi0xigCKAsRh9yuktpw8EaVmp6kT0fs6qdvd+46UVAHltxqxVn
2wzqa2QDWI1mKLWiaVYOHkIZ3zx1RvumHn5FBWw+68wDprR8/LUNp73LOsk34ntQSs479ixqWzub
/hDeJGncCmrWQh/AuU9TtAsIqmhYhaB+cD33AKke7CVty9JK64EQjHRvN4RG+8TSOCzozdBfbGfi
Qyb0zT0vxtVTmVvlXQRQYRdzt/N2ETwVT0EN5N71s5vu2cRTDSx8C6uZJEJyxmI0OAOT7YVd6fvc
3NQJRo1+vCeu1D/xPcv+0sjzLLVg0WEj4DOLlMnHjtvfso4OlgAEywRmo7cOa9kY0ROqB+u7i77Z
pdL9+D4LQGq0c2IQeDPU32ytvg3orwWEEn2Y26r/a4ibL2Fh+78CRCGYVWedxczd9rF0oa8P5uFB
zbXgJbdB5hO6l5/6KQxfXDuGpFlxltB8imIrAyhqg7G/5VoNpCNnQXLs1PjeCE5ugTQNq1QTTE0x
ob+SFaNSzC8w7lnnKczMD9OsfhUaxCYbmgtY4AqKOEgS0Zor98ak9Q+VUdeEUULXA/9t+D0CnVx1
xvgV6looGE1CJgF4HaplBTArxuI+D8JXZvY8gwCab+tXZva8sl9rm8XZC9Xy1HaeQnxLl98PaQcY
D9qKS+/5yolN7e5zaBofJOpK6fJsN1Q2qp1sAN2nWo9Cq0EkMP9PdGXSwNQf/QlF34Y+kwFSECgk
AZppppeevTb91qtWf1ttXR4PNylDywyGjqDP01SH+RlQl82qCCiaY2an9d7SWTefaity+AyOg+OQ
B+xKTQvKFSDl96Kc0ZsYtF/j1LPBKJTmXVCo7PwaKheXc2uWn6lbEs+CcF1zuuZebP4U6PymBELP
y+/clDaERjUba14bvrC5UINI5q129FikaRbosOl5T/C2ZJ8VopzPodWHl9y0skeUbW8mgSvQ5iJW
l7MffuAJ1P7mOzPb0Z0N7djweznbzS8a4LAT+6728s1Ww24eWteNrkKYKWDsPYeVZt5v9skkSKBT
iqvwXvkJuD+eqIRfxaZPPOh8X/RG9XVI+uW3iVVeGuz5bIHR/gprPEj0fIDIz8uJ6VPCgw6Y6GvH
77Ob2WhEc7fKPzpK+V3soTo5h8CDks8awJeY47VqmwauzMI7V/w/jloG8r/iCkf+uQ4PM0Cg76ry
nGex83tuGylcpxoIJiMZr85cZ6d6yPRLDbcPS+BdjpRup1xD1FSlxFcNZIpaq9nnhcWGzVfjIRp8
48HRWFLS0xpSZBUW4YJPs11t6SZfVbB8VvEttJPgk5MF3ie/19kIb8vuIkWCMYi6aMEpdgtWw+Lj
/iPhajuplMRWmxzMWsiDf2mv6KVySkZrPkgxKPXqA4pWa6VhxsSwa/6nPgOK2NsKJETBWDzKwu62
WhzoWnkimNp6s+K7+TUlTOBgiqedHdbGPXxkxj3QMb/atfBa3NdLIrncylkYFqe1voLtxOwSHk1u
fIn7yL+roluoJ3C4LFEk5hAT9OSMaXyTMvSq8W0rwt8YEwjifzIbdVxY2mICjwZ4cjYXyUkz6UCK
pR7ybcrr3kE60KTJ5mMvnfmj+UvrlclDvSTI3xQ8Sdiihd+l6a9rTZHuuZpYPhSbhSTdpWncm7To
rJaQLcI4+YJQ+brb+vKqIovO5ie+Y3hnn1w27IZUWXNS/Ftb0nFpSW0B7iNf2I7etntXfNcNNEXz
vk+RO3lXIcV3tjf9r9lt6M19RlZ3jBSXAD32pNbtKdmJIuI1AY/bE1Yue1aWpNtOlfhLca1ZvYhP
++f+loG6wy7US/W4NXrb1dsG6zbY+8Yyukxm9X2T/c9jrl2MLI5GahSfmzn+aMZJhW4bSen5sXaq
Z7u81cDxbqOaEN1EWMJSmTlmpJ0kK5VqqcIrqej+g5pY7Z0StW56kJqkZFM47T/D2uZ9cFuwKqPR
Gec5YS1ObJNeIbz2oC2GzQpwZDhX9bI5/x8rpAu9QZoMqM9/7EK6i+EQvc86QlVHhGWnk632Vzcv
FYijouacjFAsmV1m3Emu5il71+apzV+VnNjaHznxg0fFvNf3LJT2z77SHYUtknt99+yEw9GxGggI
FrZVdZEF7dTMRy9sCbSIJrgGw244dHOVAdoJHWc/q3N2z5ccbzqSlaogU4OTgfz4ztSI23GsGDra
cFIeJJly9zVXwJ1xXrSOdltF5cXGLvR5v4+c1nkwFIMEvLVeW+NVSmIfKgtqA0tX8xNLYdrujZFn
9l961eqnLoGLgKBbxbmXxE5K914N/P4CB8FxM20eebSESA686/EKNl2DDizhuAg1iXiT11Y7NQXL
IspMhurp+9KEz0k8oOK22B83nrzIqT+mmpk88ml8somgge8zTMNLb4bdHfusFbGQAW89U5pct2IH
onMtGot+iBV3b2thGXhb/FfblpYDd6gXGjcrCnsgYeVvgQNHFvf48MVkiWihx7KqenyJwQbC/1I9
SslU7ZF9K8W/E/fYBJed8WA7SHEOVcAgGuGNUrSR7/hoQAW59dZaCCFxzTxJb70+vwyp8yVVvJRd
QeC+8QL3lZxS6eU+GiEqE1sQOYMFTztG8V7LUqWGaGiKcdAUqEZ64HlrWToqlHSCC3Bx2robBXUs
xm1wlj4eIDxFBHQBVpRWQYKSBNcqV8Ub21IxOJP20C2J2ui3Vs+MizTY7FLMZiI2KiBdUhJ/8diK
0QyOSTH7Pzd7njKxQ6+xA2fHy+76MozO5vmucNEhd+PWeET5iRVFFiAib4H7p8d4IVsbeffs66Tl
27trHyTXLDkp6nAlHkqPrWgpSsXmvPrNMFIMXgQHP50AgtGQx16yc3ZRXeLbAyS39ipyb5/CDq4f
yanj/dBWwf3M29gndVZ57xu0mJggiro3BM8m/CidZqooY2PyA83doRqzSGYl2qehQKarQwJ9dWkW
v8LluUeAHrwYlEC65/thcnt21N3hYRpRyVyzUnZdJzi4mZkftIGPlLUG/azxYatW4hmEwGLbKrRG
i+9nYilFddOKuul+zY28m7OKN7JZja0T2t/XmpljZsN8V4ZpcVUKEIqw8GrnmPASP+be7y6J5BTu
n2vuZzYUJLxyt/nMhv2nG1l68tCH5gv6dZfJNvSbvwQZSDJNkBI3vYF6taippUQtXhvDf5FaxUym
1W9pqimOfVAtQIm9y3t5nw3mtQstc815gc2KshgLF+bX/Zv6H+5rjaf1iMTkQHn6EPHdvEO1Up5a
uYNcx262QYPFTVahHMfzTJ5ddZV7j/X0LI+nRndwi71iQHTCgYc6OltTXt6qYp74tFiyUtYjHzz/
UhRbYWlAIFk6O0mFJADnypvkitHVDpoDlCJMhubqws5P2GbdPmsGUm82H2L72tT5+vphAyRKmI0P
UnXxkFZpiDaLFCUxl1btf9tq7G14QKvjhqUZLdWcD7aK9klrVLc38FWB2sCWEi4PUbD4C7r11XvJ
agVst0uTESWYO23snjv2mXmW8/KnqiGImLIxCBa1IIXYi1XKkhNP14+pyRenIU64v2hL2O7SXKo1
nmgW/3P63BpKTpq8s70Z0ZZ+N0/NKdUTP+3XxoZlA0joRTa8tx3ubf87zdzoEOVGdFi3x9tiWlhR
lv1xabj0UMnG+fvt8x99w07I58RkFy+eokCXGwCQTProlk2F9xuxVOFeQ5D508wsT1WpqDevT9Vr
YQ8qW5tZcRp1/aVTcwKskIS/tksiRb2svmpB8g2yl+w6WFZ2Bevnm79LmV07jKFdZHdSHo3RZtO6
dAjNW+ucEQZpqUsrmzqxTtJCOkuJmXltvGbXZss40ioP9Cr+IMb/1K1tzM/sNJQ8IeDtGgmAfupj
92M5G929y/PuyZYEdAL7NpA4iZtUVFlVXRRYInZSlERqA49F4qPUlGFUXaRTqQkrEGI29IEHx+9A
N6od1NtF6n/cRlq7diHFHavw8Y19jsM9cO72vM2AVfHyrGVWvBc/SQCOCNvqUUbVR9P0wanNT8Vk
qvdrUW1ZClVKg6CU5dikWaYayUWHH209GKkgWrR/yr6vjcTSmQlYwxZo1zp/PxuHI9RT9WGbQFeb
BR8q1ae13ToplMH1rCkeVxt8RyzyhPl03iaQRqyFxMayPy+npg9rYL4s+8nhbqcwjdoPnT/a95s9
sFRoVj3LPW6zCHwdJlKEmnbrkJNp5E82HP3LryxukisK6PGSOtF4e/hnhWmCA0MTrX/9kSzbXuSG
zJdtRMn1msF5t7vHzT7NkLFXSWAgpsuZlVlHfqPwtsk70TasZUTdg+FEb35L6QRQ/OOkod72es4N
MN+Rz/LfdvyNktt3jFqziLVcQrMxBE9pD7JkKa1DDN1f1YzU5zaxJDOLo9np0/pDSUXs5961nfLP
r4MtM47bbA8Zur4ek/TWKLz4aT4vJtv8naxyTqykNvvtB/QyVB3ryl3dNvtsBQ9m5Wa3bTa6Xjj7
rE7Sk3QpvpoRaXe6B22D+EmFV+rWh6R9vWrE1CEU77iuctkmQwxoeiSeQD9sgw7suV4b2/yynThp
0BLLrVeTy6bgP6/8NoMRvw6GAG4ubFLRz5BnqTCr79dzUzQcRJnYq8t6qnPEY8Y4aV9/KwVx7P2Y
NK8XrPSl+NlwV9pa//pbqepClRx93gaSHF9R35f48es2WcuAV5c1e2u9YKXCcuIRNGz9VRqtk4jK
emdDCf1BbHLmLKAlO7jy0rt17qzfTyckQVFRXo5PfJyiQe6lNl//xlIxts4150UN5NFyJTVmo6GD
1bdv/oBz61V3qRFNr38qOBrqD6n/55sLKJvTb62WEHn94/8UWzZbyUrpvblJxIpWX1Pf+2075PWo
vL9aArfYAFrm0NWsdrVA7O+2n8tjZf1Uwxj6ep9AO0ddSLDWAdd23Aou7EFZ6yUnHXtTM4ENQOLb
k67ZAGG30iWebDsrip0mHxYmtbUXOQIAHl/ZRx+uq41oUvvQ6BCLSDOZVhSF2TX09O/bIYvdLL/U
xK++HkuVBQNSwH2/XkPSPE+t8hQtrKXrGayIeoeVwYRedTl86S+C5BvonXLbTsGUdP2+qll13s5e
MmThHTQGMN5LW7XlRbBADH07PHFGjfFXQ4dYUuyShNqkwxdrJsd1Fm6tBzyP+z+245GcRYToGECu
+eOXhdK+3ZlFrd5tE5lVPhkLAqf34icVWdnnN312Xi+tdegiuMtZw3hY59tBvEScrmavtwRpy9MF
8HRT8vUojzHEBvTHDubwtYl0g9TJ55jI5vV4pFk7ZqzkD2jPbqesaIloV+PsL2m0tvezS2vbyno8
Ms+00yCMLAZr/Y2ktwFC95MblATfyCQCdmpYnwrWR7O4SJ8gLM+qzaealMSOHHy5R8aI+MQfdxsj
0Y3zGEzOm+esldj945RpeyS1FJXdejSwsgk6hBrVq0tAkNC9lwzmveT4+1lrTmymY1kndCW+bvat
wTubVPgsAaztpWggMX9tnc/bAD8b5b+2oad8z2JRefezAbamPxtCbE3m6xDJtLDYLMe6zVpqt6LU
/myMBknNIwvg0PD+x6Pb+tsG3/rbbIBKtLvSZbN/mYAk/+rY0t3a08yqpIqw4Dbq1tM721axTSfw
4t9zx+tPPxv6zTA/pvjOBmOuBYVCM++3PrdD3Gwy9s9OVJ70Bot22W/isSXvxpGKrbtttqGnwU+g
fhOHzbx1JLmfjbzZVEivY5gI12vp3cjboH87RK1p2g6ABaG1P/4o2wS2ccS2uWznCWbg6GiXDqRR
f/fH2yq2DsQm3adoHN7ZabheBts42xCbbevpnc1kkaMgNPb6bgRxe3cUW9NtCHtCY7wOppO03+zv
upOKn9nsriVcLo21vfS+Jf/C2NLfmPjqCdTNt//R2NvhNaGmXmf3r58d3GaT3M9GEBuE6lc47rvl
leX1nrkNILktEZetJ6noZl4PIlbBj+8qtv62is32ZoyCF4XeXOJGfvxp/4UTKM5rfwnvC0E7vL+l
iIeM/W7YN2P/GBFE3U7TYbB4N/TW9G+PQiqsqP3Gm5562g7iZ0NLd1tP20GMxLbuO15N9lvt344t
j7y4JVLGbO/htABGtF/itHoQUJIYUVlA35lCFTUoT14fj/ld30BTW7ZGkO5WA0L3cNc4pX5wLbA6
O2BuAKgk6xOsdJWy5MKg8tkGc438Cj+pOR/FWoC9Bua6uL6xvmsqRTVufzcCxEYB5jN8BJPXdc3y
Vp9f35TLLJvO/VDfmV5UXvUlkdwYp4tExxjDoAcT0kFlsR/AoaQwaQI+tJqpukrSx2mjHVerOpYf
y6BuTwExA1dfVlYi1SFQYllPiYvUZX9wqUICxZ/2/8kqvuKguBDp7Rwty69vssP7zqQHR0f/8W1n
YpVuJJFexJYsCNLCDJjFWOjzXk/V8gpnV8bBvcvWkDVwmJbLeZEq4AN3c+3ttOUcEuGSX1uEFNec
2Lai1HaLi+Q253d+74r/dbOtl//az29CrpOfzfJvZ/Su63fTeleUwxTbOpI0fufzsxluo28n6l9o
tg33rtmb0beutyORrrei5OJ54tT8bHLbKH/f5G993h3Fu+K/2mybVirT3A7q3YFvxa2J5Lapv5vC
u+LPmr05NVv/2xTedf23RanwB3ZQ/vFv//v//d/fx/8T/Fk8FekUFPm/5V32BMSwbf79H7qpW//4
t3KtuPzx7/9gc9bWdd0wXTR2LdVCLI/637+xaxDgr/2vorV7PwkC98kY+vBx9qpuVxWue4aJWPsw
xJNmo6LFlpQKWLvsXBUsvwrthuFBDExk8YemA0cOgvLZsNP04LF7/W1K07ue2NLP85x1MH6Ezsmd
Xetr6n1HRbT/prRdfYzGqr420aw+1lH4h6P03r6aJnNvD6GPFk5Zow09Fc5dX86nXoM2f7dA/p0m
Gv9AnRC2fhahvvi5ouwNNQ8+snGonFzoEu6jzNH2em2g0D6Z2v1gdEeWsIpHW0I1JcoS7KwuFYMT
vHR9xSew5l+tEMHSQIk/VVM0PPHBrn8O/2SLW/mcVnn4NMfxZ2NxsTTwla2dKwcYHAlwmeqPve/V
H4NxcG+LSUpiV0wIGHutJ0wVByR1H0yzK/aG5fylBsr84tSD/uxCG2Ug5/YipnByr9D4KB8CVFle
wItaIDec8Tq06fxsTX1zkV9Gzn1nEVgwzOVVSl4JuHeKvBC9uKq/qEU4sw4ENQUEOvNVJehiP2dB
90uRONY93MjDToqKZkUP1hI7vhbTRf04m34laqACXl//Dv0gCgWFUn8G7uZdwLXz+ZpN9WdIeNUz
SxDpUWrVyNeBw36P9HvPrdr7xGGFDFTv9GJD1Q3dRzD9WZdXtIyHP5qaIGHXNLznIVaz82A4rN9r
kfqYmX6NPDpIoGronmdjJPo1mLyXIhtG2D56K9vbTg5PXqnat9kf0Lad9PBkBb59E9uWeKlR9bvE
aMAahP5lzlFCafP4UkQTs0ECMoWXQbP3M9R0Z3XZsLKqymXTUUE/t5jsF8Rag8hIXoLYsl48O/s4
xIby6Gip/RKXgD4axzshYPCkzLApSOIuDAvzbPhH1M0qlCqIZGPBEfiVAYAkO80QcN6HBXiMKM44
TtduCDZ8shqjfPDHOntylyQJje6A3BDigmOQPUlFN0Qukji7zSI5yKHtw2RY5kGKYTVaLv/fA+BG
lHEIe9TQ95XfdarscFc5VsYGMxfB5CHOV6KBu/CkEyuvAmv96uhB/hnG9ewDDId/iVUrEu+cE8hz
lGIQQ1BRm7mBYgZtmhHugaYZXqY405/SvP4FqKT2xR9jVrJcKsVLH0EvVm46XH3FV79EWsz7qeZA
QYRGpY5iqzRSNTW8Ol0IG06gqF+cGNHURDPqizQqUuuj6RTlxz6JCY5QJ2i58CLOIOdCU1quEopZ
kOdHNY7nY1bAoJanSXBA+2jZPNVytzqNzlSiuAmHqNZwCzATbhDzkgsqR68QOv9nWXJrmyAwy4PZ
VzEXyj/brD2L09ryjat0L1VrJzIJya4zeWPduhZjqvTNoTJQWSyH0ny2dVW7BjlbyFPbRCjzoDgC
2pi/NvBE8zmcLfOxNpPLPBGKBaI+UQ9a5lXQNy61rFQSytI3qCIVzdlYuA7QG2sf5xiIPfd7iPVy
nWswIWrvIDWrUeq7Oiq5WOr23Bc5nmKE+rN7LLr4PFRGu4iX0Rk8a9pONx2iBwgMF7e1hTgPNe/A
c5/+ISXw4btwNPeEwlcvU1ibp6gEdC7FMlfHm+5Yf0kpWTwuXeeXL/xq1YuapsCTAoD5UnTyhG8t
nmro21Fr6GlwDbweFShxJibmaXLD09ZV2443z8jaD+JQpuxSQ55m38k4eU/IbNzAwie1cY0ydFM2
v0hJ+hg4d6AIpuccsqYXGId2hcGNLFZMUFpGBwNZ3fdEBr9mIdMJ+hwo91KzOoXEsR5VBy60PIua
fZA16tmcB7Q/UTb8aDvdRx+13VtfgD0d0Ir6WOg3qRInvR/S+/IvjR+UJd1yeeBI0mZqDpbq1TQs
jxhIJPN7Zfa+WBzC6vXDJA7dD68ffYm9XvpaGoZWjDiyNFq6lkoZTUxLI+lCTJqlPcGZ49yBcwCy
LYy0igfmaAfDs80yfbxy0a42LyiGm1MgK3UQz0rzwj1sYPZaFBJbcMRUS7Z31d+y3rROWd0ANVnY
OwbXciFISaddv6iAJnmOJphFgIug5yyev/faUmyG8rX2XVtxjuyqAwve/OGFaNKLdsxYmfCZEJNy
AvM1fg5UtzvoQLbupNZoAt564tS5l9qyDL+MA0BoqbS79OBGuv6JdXD9xeVSETPCN81TwS8iijUw
76jEgozDWpkMc32JAhsFIlSNP3b5eLY0qKzVsp5ukgvQnlxzRupFu7DXx5MewwqwMxZHozRiiDeW
rLKcQLsgOnTtQpxW161PjfvzxegzKKdoAvEoUeEyBGB04rHGCCqWIg1hlUxy2GnQ6SOuP/o948Zz
5xn9s2mnhyqMplsym9CQI8v7GC25MXcSIoi5vYtNzxzoutdsCZsed5rNV5rWBsSnhQsue6uQHPRT
+UOA5KiU0ixbeL8T17uNNve7GnpZS+3cY6IAK5ci0RUfIA1on227M56QeSDmbSGhjQP31IeGfRIv
2J+/BnOtPSFNNuz7NvkrthwojiF00gmI+dtsh6Rwhmz1nEPg5I4EleDqBvN0tfygXnCb/01WGsgA
fOhDLhygq9S1JlfBkjQ/cnk51LsaOcfTaHbqrYV4b3XZisVo76fU+dVs22OpzSjY2oP90YUV9FGP
x+zF7bIKspNwOkOKlJ7dWgWZFqAXqRGYdwvmEjGnTt3btmm/hMZgPemd9SkNjP5LgIz6xeiC6iBe
GcExB6uF3VVq0Zj63Olx+lBOWnTtl2jNcUmUJG2QeOj0z51q5WceG0mzk2rw/TAATYYHKa3h/64X
WfIoiQEr2KM2QSCIlIN6fFdhLbVGW6OF4Gi8uy/NUOSe1J1kA9Mqzj285GtRvFvCjWHEhbEBdij+
KUsP4rxWKJN3jpr5mqVQj5qt8RnVpAzsmOHUO7EBMYfqfdane837BooSFvyFWy+dCQqUor4UzbZ5
LVq5+rYotVwIcKFkcFk0eV6A3oqiI9RD00g0xdDAJ5c1D5LLeGM+oUnKraEdCZOWmqmxX31st1Pv
6zTZr43doIJYL87379xaH/btZm4uPx1DptAzh+M6hgy8eo7j9Do8Aj03qyz8c11xP1CJxhBugEAI
OSJJ31J0rHZxiQuYCqaS3bZZkH/JCKCA2+/RcxLElQX+J6C/aKnQUYJbTT0cobu6GF4Rgmk3eFc/
do66VgEKM/lyEbXJsLTN85hUrn1N68ZbRO6bu9mIIB4tC+fJHmfnaYpm1MB8/wz8t1PWiqgZDqXp
V4/iIb5BkgIBVr/DQFtcArv1n+Yh8p8C1UkP8UKywguN9yQVnREGZ7jym/3qsji3CF0g0kVo8NJK
fOfa7YjhW/6FhR7s5qnQXuoCwUYG3ksJ4QvtRauCOz9qjScxjbzDMw8+gxTNcx7bwniu1BzNzHo0
L/JMcAO4SWpkBB7kqRL27aMVx/6TVFbGJz53y1+auk8+eQRsijVL0CAIAiIVDdf9mKtsVc9sSE/z
FCD4XRpf8qRrDv5YTheubePLTJ9T1SkQi8bOM1IsVxs1tC9bo9SxvM+5eSmIr9o3uhY+5r4DymWu
6r2EjPnZdOW+r32uKss9D8qzAgX5XvSMm7APHvS4AC2ZL3LHQ2fA4eYYxXE1Sn2tww+LKvM/q8Rz
NUpWEunO6gEKSfMJROOwE+Mb93d9DOIk9at/CUHL2n7reOtdJiNF6ScxvOL4zg/JDQfChFUzBzbQ
V/Wc2OzQxCTie9aH+FVWZ9XDEcUbUcqBDFnbg9CKD2J7I5cDkh4tHpHJ0Tvbv0BSdVo7koZv+jQ6
YOJN3VhPJSJ2O9/qLRgRoYAfoiY65pobfh/0Q1Mp8ceUUB5Ul+Eok8gPSdSFwmwrbnEeYtuctaVZ
obp7yLTGNdJETGtYx/+8K2kxsnijZ/l4ka70gNudpcXfNb39rPl+/2UOG+NgNHr6GIYqy/e9UZ0D
ZK4+dhnRAEUwJMSSIsGUt8TNSREERXKTnCRIiSW3dMre2sTlXbOftf2ZDfXVhO+k7nW0bSD2D2Jb
zWqUrd365II4eYiNKXiIIufDmM/mnZXo1VUJyj/7qrobVF1/yDiTwPUolkZgPORWU3+clSA8lwPx
eqwxmJ13t4HEV6R34iK/XrdNddoA4oPX8/zVItBNUQOERdDgkvC5YVHjQDA3GeZvG87cmmC0cKxW
P1uDM1wgiQ13nR2i50ncw94YkWTQ0YtERsAABoh4GSD2dBhuwcTJVhwCykCgESdgdOm39W+0/q9q
v24vakDM5/LPXv+vNeoViN05V6gt21tbjQYEWy14H7dfPr1S8CzL7j6griW71ourJFzpJds0XnDa
bOIoDd90KdkSgFU4sSeaKKjjtoqWwFh454QLfLKf1GcvRrW8NiuATktxKCoNWsf6u81T+15MfWk6
BFzkn+LGV5/FpPpTjBKo5Z2kKBVevPaaLl7Sq170CBvooYda+mTfYsiz86KEsK/RzZNe6fp3z0In
JQtz+8UphuyYGGX+6DdtdrHVp0rJYlM9+Dpz1+Vhb/jFIdHn/H5cHvirDR5t3hLcMuItfNF/dpf3
BXtJJLc6pXpTEbEzwOOAcOSOv5fHfZp3uEpnBXHR4bWVsHpoubXthkWlF4rq6Ryye3fUQhZIPX6M
oxMP19nJrU+S8Fr82+yjpRn2iveUtvav1rjg7FfI/Q9YfpgSkb2bB7288xXv0R+JI3WC5ld/0rOn
XlVcdzfw0rn7/6Sd15LjyLJlvwhm0OKVWiRTV1V2v8BOiYbWGl9/F5zVyeqcOj1zbV7CIjw8QCaT
BCLct+9tdYYDK2nJ2EqL8kQk8i128vheBy4pB0Qw1fMD+4/V9VRpogvxYCI2ze/KQQNJe4SOwwXj
nzs6uPnEQAiLnjTDMrzZFH1xFOPN5zb9uyU3P8tpfr20LJu09MTpRdvfrvn/c7nbG5Deh0tldX1f
woC6gvu9vs8rTshXpoIuSbeRZngH4SAgCb3rfLYX4mZ6QK4mcwadXbTxohac46fa8bHUx02Y1aP6
JzouA5Vi+gxrMPI25pF7UBYiTG8oxxszmxLzX1qFydKq9cLaNrgjZJcw10JAnVl/3PjbZNHV5+ov
hG63S/0yf71qkUNkP+rOH4pKoX1jrRtlbr/AStSfkTfPr8M0Ut1t5+r13jW77os2UfBH7Ha+iPNg
/Rn3pf/JHQfC3pryJtYOmOgRfpFpI0MfEa8NtObDMW7C7ovnUJCB1N+j2+TFJwNdnXAxOyhfXQII
BxAbdKbHyicV4TYz2OBq0Vg38pCuU4/c/mGc1NhLTheZ8Wxk2aWHdl15vg3h1KyuEzc/TS5z88kA
QiNM6f7VoyF7kgtcX0OWSCOXGbPBcFG++ccLyHSzvDvIacOXamlMryOw6vJ4sBYaWHUhhG2J0MtI
mnShfZ3budpVph2+UIPQPxWww8qkmCjDMDfj4nG7htlHfBD4eymC5GpqKYDu0uJCMLi4cIjxKCGZ
+u3VlluQaks3VTv7FFD1JCMO3dwAr60YpoQtu+Nl/TZHQb2NgzL+K6+LAMmxznE3akAQv4nafut1
k3Mfw5FprOLEnE4lhCVXH5lB2vStMI30OHncPocIrY05gAheRQemBqwfjyMxTtQBUJfReuNPH4Wg
Q4gIDMWfi6N496pHNH8EVDNm1AzvO0hHLubkHaLGRRZYbIlRNVuFNNZaltwWXy+meCfqtgmULxcd
g8bYuTC+rHWr9KmbT4LpmPSOtTX1dWjV5onNhHmSnj8jpimN+967TdxsijlsY9VEIvg3bnavRDm8
M1zqdnl7+YZrcefUzbGF01p2v5BJHhVX04/ylEYLDZHQf9rMKNabU+cNRwBb+jFdnuZX2+Lnj+3P
tbr4fbDdtvay7n32+uJ5yEEpMutDZirKk2Ehi9pqyme4FtO7dKAOU4ZVrY37eLaHrQy1oko3fWSj
Tdu0hJx4/i1y811UHyAIVJ6Hso5flAZqruX5Bg26f+4MboB9jaC9aYyPk5w+AyQ8Sx/4HbTeKb5o
wslWzS7DAdaUINxRtBRedK+kZhUNjE0CtU2YONlrvDRO/wR1ZPwiA7exeqRjwoCfH+y+bhk2uwgV
wq0MKyfX7qw8+iGjv1enofFz9exQK9ercG+Kg+XkP1fHZHIey2Ywqq9FPVRrqBCCgzFR0nn7DTuO
dfQHTodi4uYQHIJI/+lx/Zni4Sj8aG4ecg2ZDLugJLqfLWKAVOpL0y4V/L8bTg3V9Eat73/n9u82
6jfRkwfR8e9ut1ctF6oBp0DPeQr1Csnav9/d/8MF5p5NmlNrqNj880/5r2vN5fK1rxX7uPc+317s
w/oPQ/EL2VKfm+iYW52LBnuPglhaRjDSLKRLydKYfuc2qxJOxJVdRP5WjF2vT/NOurVb/vQc3ck+
KX23lPrydKsD12l+9sXz5l7yIN8Y4IfXv1zouurm2UfaPpz0+qjLO7i+j6vTta0ogt7buf+HrdYB
MlHvb1l6Vx/hloIP6ueblzf765WuSzuIuShlo8zCr18hVulfVaM6xXCpPsqIzXiw9oeY0+syiWpB
tfP1qttCOfagxhpE4khNnbs6Vc9t4s7XhuDtz97vbEbvx3tqfV9lUpbKRW6+pQvKuIOXvaCo5trM
NVqeVG6+3UzSaxPjp4eUHwyUkvoUEyNB9r4ULcYW2bYm296cb7Nu4k4HtuPXC9d6EuyCHKmKwuDZ
EYzwJGqJ8WANvYEWET1FiQbi4hZb4Heb9OzKHzd+EFM48M8VllFEFHA6zuG2gsIMLqoBZeiNBvWS
v18iHrrgrFrj9QUhpO0P2ex/7anFPZvLJr0fDfbnt3E81+UOLpFvYmrdzEPqjXLitpzdC8S7/TGF
HOMwl6pz702ms0FTZvpEEQ4Kr804f5tApeXtAE0KT1aqNZU4I2paj+klV1CyGNWGh90y1KhGvTRG
ZgwQB9EV4xh+gpI9v5sXi5il0dENj6N0N/pWQzWWGW9Msg5f7CL+biqz9SNOPuWjBUcE970Hw22C
x2aeQxiiyrHY61XiLdXF6laVG35vKd6qaWJnl1bZ/AifKgcX51EaY+kFgfaCEGONVirxwsr2iRf6
ZksxqO9QvrjYesdBoCz5TxhM5YvTOdQkjLO69iyrePHdtHxxW1Q+yyZ4kpFDCfA2t4oWqT0mbS1Q
n3KEL2Qki9xGd5cFYCAWD6fyfU7/M4pe0fa6CdLQWfWitnocK4jslgyWjOZ/jKLR/WUuS4J7+Oji
s+sg2AwfBg/sDGG0riuITUg0TYwIIBF4kykPklPy21EItQMhuVH2BjK+LRcfGbb6nB3COmgvNTu/
Y9+TvEH5Me8e5l57y+dSB11X8dWWrjQJErUUxSy15dK9zdymqZrSTxQysPAXd5kv9RxRi2KpMVqu
XmcuTl4Zaytlbqh6GmJr7UCZRmx0SR+MVgfBmOQTSMfrw65dhaaK1M6Se9AVfnON1vk7n/TcCuaj
5I5M97TJ0XBZ26UBNUdsuzDOcwuzo36GSKq3yr0XKui9LEM9hVh1Z0cd1IBj7a+Rf7uKqHSLSCVC
kPaui7RoI0Ip0lQI9hGOjD129iipxJnRL6Jx11VNFwYP42DOCDTpRqYjYun8J21TMixLM8Xu0WLD
+xAmaoHaEfATFG3rtVO1Nfx7ep9u3SjZ94ZHUsjR7QfLr+0HSvHTc22ED4GpQatop3q9nficNrpZ
VM5KHNUo+4vDH1GHLL8zktk9CyMrGyWQTJ33LCNpvOXY7qhNtyozdgy3CVhjf9SF2e7axtVO9jT/
2nywZYZn2jBQ/u0YOm5krD+sMSoYjoBdcaGmgyR27bXBy6yE7kG2Z/4STpNeX5eLuouvHCbFikiS
R/E5XRoZ/u9tEfeXwzyXx9v6BjBFsbpdSnq315CXvHnLxL/b6mYgW5E9D35dvnRLE4Irqe1megJx
ULyUZt1uScoZW5lMAjDLjc0+ZpmUJnP9eV2ZSIwWNsHuaKyrfZmMyv3oIEkS9J9HnueIu4yZAlrN
Ue4DWL3BXI0HMV1nO/b527qNp7UsvTlbU22cB8Xew8nrGat8uXBUoRJquPxobqwtXRK5lytVC8+c
LVpW7VpTYHhJUHk4gQs7/oJQka40An5xNUhk3aEKNh8mfqJgBOsSlpaxs6rwW7aQtqdLUfqtqRrl
bVb74HAzSe/ma3RTsvVqtBxvNnEppaC9J/h6TmPokt8v/MFPJhTPfeuSZc/tuRmZKy9Y62Cr72K3
+NlMC+v0zSZDq36Gdas7i1ksN/8PNhlmXvbYoN1xuLmF7y/wO5urI8fdO16H7jovP7pxhRrFsqRw
BuhGpStT4RiXG3Rr2zWczfEK0XQCxu/CokQ+xoc2/ikryg3qqjcKMB5a8Za6oO7d1onEjJE+RYoT
nG+XSL06P+Xa+EUcxC7CpQpkKGuiLXD3yMrlQkWTy8uJg7jGrb9uqVQ7zkt8RJo6NioEhI0CnrjF
qMTNXd3Xzv4XW+BGO7fJ+pP8k2r5jxrVGF+6bPW7f+jVo6qqchXXlJkgCKivNVSkyFjbGqD72Gsh
EoacdDDGrtog1fBsAJzsFrZcI1hH0YxMUOlF985kw0OBnOU+1MxaXV1beJZ4iuYUyYuTuJPCjK9r
FmXdCXrKEyjMaZsFBgRLQaafm7E0K2BPaFzIWFuMvxuKjYiyzr5kKDeOOsTrq21ZC9k9l2lMHvSO
UxabOpkRXFL7cjpLYxcwO9te/FlTzfDQzcOwzvq2P6T+5HzuAgcAZz04UJEy1B3vqEOE9Kwkev4p
K4NVlwbu55QisYfYj/8MlaK4y52OLIU7qgvyaj6qrZY+m91U8+GB2C2BER6mKDDvHZcnquFw+p6q
3nx0awSE5ggGSaTM3hD5Q2fUaKwExvqi3Ddjmj4MZj1srJJllmsnD3qSIB9Z6nzaA2Q7K/FxWig8
VsBGzFNKYEUcZaJarpAmTvQQr6+ek0XoWiuLI2zjJQKn8FwOyXHQjWHb1IP9R2Do9wQp9RdquZ07
xYOFTQW28kdbk143EW26rz1tX3h5e2+6/mu6aOha2pjuPEI6MKIz1P1onw2V/9oY/D0j8cSV3S6S
unNqruMoG85xXFZfIuUvcSd6UB0hzY22MmwV2BEGjawQe2Z4Enor2TZq0Vwo5EZ5xqiUr+mDMdXZ
t3yAQdFUVORw/vu8Plb7zIsd81CMaHFmbvoUmKb7JRpAqXnz6G98INxf4OGAbqmNkFZZZg2bsgmo
qj8VcCwiNYFmj9hTKMr2uZpVOxl6Ucap1ClhXBrj7EvUX80UTZMIcGubTEHtfgEADB9XQpZXj18l
wFEYRbsL/RjFVMgKXsMMf2MYv10DI0uwJNH/U7SzBW6Web825xUUINpJIi1502hIE/uwyi6zampw
XiibP2XyaoqGFcHn6rlarkUmjy+HQjm5TFakzXeRklh8mMzq0TheNHP8IpPSzGTfs4E8uIwCmAJW
cdYFJytTVv+Oktc08/8AyVuaqauqbiGUZliu+0+QfJa6+jB6lfmouWBbukVzkENacWngfN/Pfv/N
M9A4RQFEzy95k84wHvT2JlRsjUR8Nq8V7pSfOAgRh5vRB5Gh65r1sTV08zoEW5oR5UQCfAg9nA01
PJa57l9nB5icDnllhhuZ9XTfOMBDSqTfQKG9CPZJZUcHIFIAlN4bv0HNPWhpPthkWPreU9inyV64
kYRhyUt1F0msd2alX8bXrh/Xl0F37f3gqM+VAhKy6qCL54mvPfjIiz9Iz3NReYkh/jnIkAID014h
z7oxvCi+iE0aZXT1u0xvdjeT9IgZhoeq7CDH1pGLj7q2O4q0NHowf3hJkJG/QofaLTTj7A3hN5mb
UGR+nqmnWnuqPhyuQ8cNHzNY0WR0XWRAzaub3M6v4tUzZB2FDz5F86K9DlT4U+sA1MkrX73TFxK4
DjqkVaWp6t28MMbdZrVlKLN9UOP8z7Ua54D/y9dQ1x394/fQcUzbUG1EB6F1cFT1n99DF26nDAY8
/0HRCIcH/rmsGvMINeF0GRYe8Hrp3YZRVu46J3FON3tTpMFZcxEGglpgHTRd9alcesiZVJ9MpejW
iauWnzgHvZWZ278U2uTuDXsKwNoq2pubVN/jyCkeIwhg15lOTm7m3o8oW9Tc9RxXqBfrg43R9qhs
yQyH8uZOetkQAdeXLqDzaZ0OWQKciNVLxvrOyh5aI1fTbBMHQfqYlz1MmOhsXyE24Aac+8jJn2LD
IzhYf6m7vHsVqI2bGy/TDPii6YLmMFWj/VRM2YNSecaXso76ozb03Sbm2PnZLE4inM1+xke/CbZr
GabpqJwdJGaustpp6g0PsAndy2RGSPLFS7424aC8igV8zWbM7fhZZLerIvxCogu1M83uny3N2MRN
HX0N4uGtqEv3JdYLFUBdD6l9Y6d/zuiwgUos9wSxgTI63UIbAoBAChDKsW6fwQbYxGAg/psHfSYS
hURtrUdZsQZvkAOu6nbQaeT1j4qI+MpPdCTmURHVEeGOu+DYgq1fdZF57yUhKFMthagtbFMe6P3g
UpeZIjMWBchkNLUTguWeYR5xUJGkGmCRvlpO1LMbT80ViCGgCxt1iL1WOMu2Mv1RlQYKZJUXvihe
MZ1MtLdX1/e3zIZwXJzh0DzAMzenCA+2PyClLLdNojl/FIFCTEMFcxRU3SkcU20DN5CDDsP0pnl9
+AyVa3qfFSmH3MU/ym1EnQPNvCC9NNypSRqtu5ivlldl3oMfNQvp2VB6qynQE5SvMEozhkkBKDY/
uQJPy/3vkxvUJPOdGj1V//vYVvVdtVDc+X6DmBj/fxIrvmH1RyNVwnAH61B4jhflqmpAj1t6fhg+
pwQSdjKa03Gy1z3qZaus0ZRNWXUjcQ1H1RGmak9VWdufXUoajlPc1hsfSsXPwVIg449qvp8j3/pM
lU6xNlsrOMusPXdferiPH4j+NIgSWB6ZHiPfN+D3d0HT5G+R28YrxXTSh9nwpldfU7aW4WdvZpS7
x8JnJyvDwOngoW5a6yzDQTkMbt18gZsu28LwY64poXiMq5ltOwjqRzud8se6puhl8FD6dsvqYECJ
tVEN+BhFHT5YmCKltzykIYmBt1uGufA9trFnXI3ieFWZvxmBq+/rxspeeiTuKL6pvU3Ad/ItSbUJ
rEh5mrMoP7qZ2g73SgORayQv18NEqARUEF1f5CpT/26UVyraKdpkvkXMKLXS7piazZc6BdM3zb51
ppblrQ4a5Xit0Aqr9gTC5gfU0fzaxmXoadOPsg32xPb6SxrM6mNm5+qjgmaOkIXA/+Hz3IKYJjU5
caDy8ixpA8XNHmPTVfaIY//Mtkgva81/GcZDbqySZiA4uCyTFbcLtARHIcFdchlibGv01mYH9Iu/
0Bt68kxeepbwGcrYVCO4SqRLiIgnd8GDfUvJAPqOH1xljApveXQRZyFRYjxSj/gdVbLoBJ7EfLya
xsnadBZvUYaGN5vodBjqMcsoHhKbNC5Jp0doqSq1VfyrfbmapbXRSRxCo9aIluWPZpYtPJpIfyd7
EJiPFlKMp0YffzZhT6262FQi5Ie8yHZiMqaxJ7u6zN6cxQ+eGI6KfKEHHcAi13GUCsMkhmoxeGKQ
uQKlj61amePOda0HRaeqTgoHllGnRcGjVBW8j6Rs4H0kNQXLqKXokZtJAmvU8pySh5U8toxVs5zc
b48w6YnTzTYZbQsEB41xbupZW29b3/oyVy2BdVCc071dTtN9E1bcW4em3IrtOg3Zer5SUXUCHx7u
LVOPvhOizvkOlfXLYCrBwQIwz481Q6RjXhD9YRZ/nzNt4w6BvUfAjKooxKJ78CG1fRd2mn1nuOEr
MhdoucpxWSaI2gbEF/pmH/iZdfE9mtp2ueeG8PTYgXcWk0yK/drUrbNTa2sJgeErzYf1aVb9lbu+
tpdJA/QZYDpiR+gQ+FskoKBun5wXvq8w9iem+qC0RXNPANN6sYneoVFiu1sZBr6jX7jnvRgaEBID
1RpoO/jYpImqvN7GCUIWpZv/tMmEfJRG2r4ZehUcg9qfNmbYWihAIxxdmFAZe1rw1V9GntJHT6HR
DhcFasKbqfdb59H/U1bcrMUiChWG3uVmjx3nLVJtuIneL4fClL5See310DbgWReEWV2ZxXPJHmsZ
XBuD8G+goXbTLyA2sYVq9qlXp/murrr7cer6fT4h+gItIqzGGVDde99rtqgG/9lM6p6Cpf4VqVIq
rfLeXU8kLl4H2/YuUdnAl8Rk3AT961hutTbzyJIQafET68gdcD4RfppPVR7xEyqkFQMFjPz8RnPG
LIZpTObTdXx1FoMe6TMgcDXYJEru/HoBWSTN7VVSL62PxLdQke/A4Glj5b2GNhFzwI3DRoZog7mn
JJ6NlQx714adzhlfZBTlWvICQRiwFcN7FROpzq2V/9Ej2NOk/fSnnqv1pm9Niiq5p796YffIZ2I+
lmr3TCUl1aCFr1S7wZ2LVRZPdnlPJopQktsiVDuOW6SqPG1dl/l4mqsU0kTphrOTUjC6WJEd/Lv7
i5cfDOMJSVe1O3y02qM/nGxZpcSes6U+z7qjEMLdg4MytwHamm+dwQ6NWjz1Eg+B/9mbH8UcUR+G
lqyaU2xSx2+oZrPx8FDTKQCQG/VT3fX9faNPnbXpHViJSaaw+04L19h3BUUJrZEO+9bLqq2mIAdZ
pV53ujUTX6v/PvSctD85S3NbcbMZZeWm1wvefH477erO355yIXEXTxl+nBbj/+qdXd/Kh3ehduEh
doyZcovQWmVtXmhry0JQIjeTdBOaI8FDY20qIUkW+HyvDWDKFJzsP2zX2UWa5ub3O5ssS8pqWCkN
9bhyKfH7cL1/fw1byfleypLbFT5cJmxAibdhpG1vE9d1H649BxDBrn53nZvt6iMXEmPlWZ9LEP+7
XyZ4Biy4vvePqV4+jesrivHj/O0vvr2O0QwXLVbG/YfL/DKU6//mg/6vn4Ymf18JIwJ3/vBsZPFw
uTVxbrC1b5NuYw0lhZnvszYSJ7/4JYbhURVCkN1qu3BaieO12xNM2g6QF1xXf1gojmnqKNuwQrXt
9gLSy0h+TauiUaOVRzzpehsp5bZi++2OIuwXuTH0qUlIl/PhS8SdO/S74pkntfPKyfRPYtr6RUaJ
FWXr3KucI3VizquhtCWCNqm+kyEk6tHBMK1tO6JMltljexejAnXI4+oBAe8W8W5M0uTLUGwNoS4q
55dxnJY92f+a0/y74wBbxKLX8/fCpeCbLCyMAhAVxtNOZnSLHXCRaO5LAdjvBB0NdL1Ol9Q7Quvu
irjhG6n5+dA2anhvBVqmoo9HF5mbaNPVTYeEgR/edynctzIhPbUgPVba2febHe7tb6M9BlySCJNh
jxVRanJ77nvASSZ6n6rCSYvhPf3nhFNSn6anVni4TQQZSvURgvd5OyKV6GT+feGFXzsfrL6MxF4u
kyr689tID9BM7meXH7fTb8DLmY8A6dgeJ9yfNUUnh2cYj2LP4H1fykUpIlhsrpcoD9faJsXr4O4m
matM4EWBav8k4I+X3m3iSqMvjPouAdqta84umwinebDi8Evt9OmpX1IzxUhBaaIEwYG9QPgotjEp
tUsGwKhf8jZikoY9XrhtfN57s/gaWjJd1HhcG0NehAhikeSoQ4/TelyGHCPdbqd503eragkE2DUA
zNSt9krfFoRs0GeN9cg43uSGUmr3ihrpx19MbGXuswgwfVAl09aMUIZyoF6sviKcom5QV8qQF0fD
Qhpgqtk5GqnPRX7rvStOk4q6RRPHUGDOxmfIGyjU5wumnd1h/rVRlySM2PLYYT9qaqcpiP9jWiSp
SMaqDvwWFFvFrrG9SXxk4cihjNAuNG6Ef5AOQ1xgmL2nemlcVd0CmoZmfRllKIHR87eBm/90mDpP
O3IIruFloOIFiCiJC4qqTFANf1+ELIQPOHntnUIjdT7Hdvw1hpb5IVvSNmStVmOt2q8u0rDofIZu
eJksanw0gpIbanLXisaP9KecPPXUgVkrZ53ichNpXF1faruq0jz2eTDu4tjqTyPlhJQOWs9EKbof
fVIftMaq/0y03FtDWDE8qL09HXM11vepUpXPoJUQF80a5ZtVvyQj4FJVQ53LdpNoQ5q62NWENXZT
qoPPGLvmoW37teMO9aUIkvZBTE1n1cfQH/OLbcOXaUz3V80H+Vqb9l2AXs29fJ3lSyy9OYGjPZoI
sfHVv/0SMFvDN6+s9UdVy4sX0N39ljscioXmXLyoXl08oUexksl2MUUDVXUTOmbkvVlArYN/0ezp
QUbSoB6Kqlc6pCdZMDYIKCgLK/2kaiUU3SY1hF0U35svqd+X95PrEP2APya+ROa3hsJHjQ0zE5ma
lvcaCsV3WphsvMIGf5KA4XhY4IMkJR2CzjNKlAsSRxC53IyILvxm4lZ5Js49UoJt6kLdblBeGKnT
qfJz50maEXVmCqnzBw+Y05Ne1tDWdvaGcAdKT7GBWO3UquFK9fUmXtdaZO2mCljS7QL6zNmCMo58
G/DIBE7oxWdpKMxKrj0ZEkj6dWgtww+2D8uyOIgIqXz/sFxWfrC5Sv2pR9n0EAW7uI6jl64yQuQp
ClA083DsC8U4QgQSGOtJMfjdNpl2olgTMImS9iSUMhoxSi+UmZtR1nwYXq8mq01yNyt3Yqtwu4Qs
SeoeTgUx/jq+vQNSasb6duFrb5l2e9Xlkn636Qt/nnaUZe8KQMrHIRrTuxA66btGAXN3lK4Yif8a
yqyf2xHq1+dqJslblZVSbx1QdKcx0UtyJsEYnSNN/6qTXEDisudZuRoEIVNbdvtIPT65aHK2swcL
v90/qc6sPSADrT30SzO5VraJMohjZHibyBzEB0kgmwdS1/qDLItsCmR9J/ykWUlAQrENzl0RhMUq
WroylhkjKtArlm6aTsxLN5fuL6uqkcBhPSfekxKr1gsk0CD7lOhZXaqPyANSM+8W39nU7FIqWSAS
QK0o5KfyyRm8keiici+j0VLrF7bpq8RtkmGNvuu6jLT5WSZDXXlGWM69V1QWZgps27UWzmeZbPTW
WdsQjBxkmLrcNJDmQCGwypSdYTYNJzsIpG3LaLtVDUHVJqii9GoEDzffaVHdUeGp6vNPp6IAclBD
7L+6LrKXqVm8ZIGMs8n3DlOX3vFnwUNcKc7KK9pvkZc3e2VqGspjpzy8VM3IbWHpjYXz2lGmc5BR
ilggaH+z3tpmCUQBNTP/1CHTd+L49WvzwSZDcb75iU2HqXsDdPizoyVP1sLZEvDR3KsL74sMdSqb
t06Ccrsq9C1ilAZiQnaamWZsZYnY2j61uAEq2YsBF9ZR9TKKOBNn7+kcoNeqU9kbjx/SakQp8Nzm
ECDt9KCIztf50g9gUChRfEVKVjlJk773+JL8i60zKzZPS5r+N25+RjV9P+fxX00TdFvycJSmxQRm
7T7/y8yn/hiNPjQWUZarx6YZvk9LrFs84n7QtwAK4kfHiC+BmQUvyNbaDxk8HysjqKe3QHcVqpgD
d1+Y5vS2uCmGrTzzRbQfUhdwhdhVMkLwmKUT/PHWc9QgBruIoitsuNyVWhF+Q+Gu34lRaueQFK/Q
I3G3mdbkEPCDSPVD90k2nK3S9kcvmj/bXoZiodhiWJyScVDOMvKD5ls4lOUxMkOHXFl5DCGJvGsX
2KC9wAbNvFfPgCnuqF4GWBi5bFxD0jZA0P52kV4+RVBHloXFuaEATwhJ/vAQIgPNfSAPy2MJbB9M
PHWs0vRkJRB/LvWjU5lduM6odUQyGp86jcaH0Mg4kVqOtjNCozmzqXHcurQulRGr29TLBuojrP6O
/yQPSMs/N4uIpzcgHroSPc9Sqwe2q3Yz3BlmBfpY07uVt5xzB8E5izSQBRKC5EGOJsZkaK9jZxmX
xBlGyCZiZ93VvXERm04W+NoTW8xNk1LM4niz11Wq8zmbcKjo6UVNA2TYM+slRGyCUComF+nxdiPd
oqH8vdeC3eAAAFi5bZNeojDIj0Ec3UWVZp2v2+dZs9xFO+stt+q8hhk0S7azCqPsFJv5XTqHxZ30
4qV3GxLnoyzJrk+/c7NRggFohDbqGJ6FgyFa0lHSgwGB355080KHmEBIHXQvOd0cE7v6TNKx3Xfv
XCM31hGxCcMIQSQVdSSCXzcb90dlqzkI9DZ1BenagnSQpq3RoYtdD7TUu0164ldW/kaNw/5Ye2rh
Q08NhwUsOBwnwnnOd0ZaDQdY16z+uUynnhS7atyVSxPObcIpoXE2mVoZd13gA4FZejJ78xNbz78u
GjsfNARLe5VT8+qD31Si4gG36tUeegVVYmrxBLSRrCdZMIAkXXMIh+UwY+fat74I0ChRaoqNQE2u
kwUeVGZ1uo6CkhdTFecxM/wLO3QUJXLwAxTDwDniuCPnHS/tQMj/PZZerjbJPmmTrzIiugn+Jinm
8e6XrkylkODNtR6eZWTOpp9vpCve0mvrACT8BKRchoR5x03adubOTSzzhWPs62BE+kXAxrZVeluv
ZE/h+b37tUPlFqoA4w898Ntt64Y5RXshbG8Bqtq5HzjnTM26uyTnRNQiSvgJnqlkVY6D/2ORAVbs
7oezHLbmpGxfp9ZJdoVq2Od2mJOVbnmXqU/cczI2ENikduueZXxrUqq2yTyEylZs+bvLB+co8pP9
FLMflwy7O0zHqCpUjpiu8hoGVDJHSGKRu2VYAS1ZJ6plHsWXJ264DYc82l9niZ/tOa45GxkWJrxg
iQfpTKSHexBe6XHI5ks/z96DYQKlWKFNTPC07LVNoGa6swqj4ZtrR8a50NiFjAOodcV8MSyD+mmF
U1ynzOpRbFWdR0cDXfC1zIo/xF68x3Ttp/N4UVBleegUjZ9V1D6neYdqlusbO3O2kk0OeGA9oLPN
r6yHCDfPyYIuvaaHO5PvGGMYnhb63KUrTjI/5tRmr2Ij3JE2by5N4LoXN5/3gZB2yTAe1f2Nk1JM
jj/ur2nP2qHYYFlwHQaQAexyRz3MehKfrJkjH+cb80ulDtVGDzLtiIi18SW1rUuhVlRLXtNYbeco
m2a2wvDLnKOA7fRdfpCUS2cb2sKBUwHFJz8zpRGUddLNo+BbrgTTQbIySj7aK9+u/e0V4EnA8XM1
VvkVFdyImtUNDlpbE/l1b0QR+B3za/VgC9M+rRr++UEA7UEEc9JI3vGuXW54Wl+UO88z8+tEs8yK
iyNVAOIoY3GEsQL97WWx2OQKM4zeKz+FCrXUdf8eIfhsnxr1CNaBIZt7OI/Z2oVEiAZN/wmf7AGf
jUWQPVPIQPoUJG3RBNEebp1go/C+nqVJtPmVj1y/k9EMcyE4AHhVgI/9UCcNpEeYkujIJ2pkr/XA
JVAn1U9+UOuQUghZccYA+OjahLEEmGlF5WYEQPgWwKa982uIUymxinb54LUb4K3DGiwQFTdLjxLu
nz2ld+OrTXoTVH3rqqJ4iCJJoN7hwosKqm4ZIndoP43ZuBb0X9PG+T3SlJ/Rj9+roVe/LvH2+zaC
0qZPB7BDaVVui/+h7LqW5MaB5BcxAvTEK9vb0Ti5F4ak1RL0HjRff4niaNjbK93tvSCAqgLI6WGz
gTKZCOrOhe1dNe3qqa9fchNAMzWeip2I4W/xJjcDdw142F0ddK1TC86Rti184OyUoAKCfG4SC9y/
GjgOlahMh1WE5Myd3SSR4VeCueMjwt8XO0yrjSOC/JC4hX0BcDjbaJbVPpdmFSFv0hFfsYd9ZMzD
Odvzi8Gy/8Y+2bGnrT21xitqtqMnDcc5A+Rbr46eRk9Kt4y8X5Z9EzdHp0mPPOHBdtDzDv4JabxG
UaJt8c7rkAyqqn3etY1VbrxcB0yiB3RPP9ci/JRkFoBu2xwojl3uIuw/BYDFLVBlQ99fJ8/PPbC0
zoGlEPlAvnfu1HAqwYozYuu7tuMsebA0fd/UHhDcDM9OfXfo10MUSeSE5ubFQRaNT9kWYFfKrRJs
kF2rGNf6Tn/VwqQAU5Sscf4od3PaRt4H+CpVAqxl6kDK4fg6prrmPLUa4+c65s+eMTlPJKpZ2CHZ
boj2JEN8+VFMQbEtGqtBWrOqCZyA3lsC8KYE4ThJ4xhFEm3FwK9JY1IBzwTc79RF5qtAESxImxQv
aJibcgfOdOHT0C5ME5GyMDcuNDYQ0Ud2WMbWpZKRQhQtkpA9jyFoKJ09jlDlvmjLH1QEk6pttyfg
Dpo0T+wD2qg3moDnDZhQKSFZRAwJUFnuAhitBAfoNkJmNZgpPw8SaXeWHbvXzgFtN7A4x6+WhSrm
vtUDlffoXJ1GvimGqQKGCHh96sLJd72CdewI29EtXkOOOiYSoejefJx+zBqlToStnxqRfW704qKh
ADwvHPDegpDsmmn9xdJa+5lEnZAfkxGMfZ7p7py4s15zdsGvnP1x0pPkQ+yULzTK2dSAPhx855PX
2R8HpvU7pN108GcrWy9lK7PuNzieCxBMq8fMFXF8BFC28OfHrnaTeINjFneOyTBMGxQchcjPyo6O
kVtgdHaxkebM2Qw1fNGNU3nlGl5z68w0HQULo5mHvuNysdWDfOMkBrtKo2ZX1JbqVxqOrdmuLdY2
axqSgkxmbSE3ZmiEZ0tNJdHccM3Y9Qm+KlXWfemdxNxWXugcqZEMIGFtae+ZEyjGSqUwh754646L
dJnzL30cRchVnH/vAM2kz1kujciftRqZU0vOTFKNgFEDX+amUXk0pJimCVwO1dT7PCj2E/jKXp2a
ZyjfCvm5M834QdRTtpKgFYAvuNuzLtSB0adpW+CI2siaLeRL14SfYm4lq6rmYtMPPepXUX77HcC9
WzPX689jUrOtCRyagwlssmetiL85dSi/t16a+Al+k59QjBpsEz2tLwDoB+4q2Fy/JIX+CIZM6284
pVCwJpq/uIYcDmHE0auwh2bDs3i42Bpy5xpWWruoNu0Pethaq5Yh+zas7cfSwgG47nm9E061LhVd
tlAs3NR0Gv7ZAIGZVkwxlZLMRKHIqvXM5x4flnFgVia2SFnPVCT/a9tlhxJQMIcMuQGf3C78lJZZ
8qHt9exjXF0F8LI/BVHSXjXDjeHGnY5ebzwknrAv1LhabeN+0bS2W+87pn8mESnh5X4zoyFcRwwh
jiDf0oS7+XzEc2t0H5fp1X6u40z6mu+AzPzTQZK8et6zl1HqgMMIg3rbVyJ/mQSHJwOfuh+4JmLj
mYP3rj2GDx48sQA05qh6QrjeS7n5s9TTg4by769Fof8feO6ea/4rVR11x8Byt1yDux63LKW/wXPn
qe6gwrIQD9glf6uCNroWSPticGHDzz1JG8m5qRVdYzP+pQHWQrZH6sMPc/QKht1cWjEF4JrA6fHU
qBVoBvV6XgE8kJcHJ7Bx+o10HHenuhIHNxuAFRzjeKCaGy11mYxguKjIEjx+4gAopt0iJ2NqFlnS
SxcpENhTcrN8+4rTF9cGMOTxTnbzPeY6C1YlDjwrK/o0Oql+7VVDPWq4YcWbwkT16SJb7JgG72iU
A9bifVZa9vp1iPtsr9fYG5KigmPo4E3GhQ1A+bbKsZkbljYjX+kI2p0majo9X4scZWgkc7vqCuAa
+0RufaE3OAUkeL7Jbw9kGvexEdqI+okYx2fy9WdI1AVqceRtaQrZ1I31N6o5qrI9t7obvZaFXq+s
IQTFZRXh+2x0wbrNg2xnaV30mkuk3US9hYJSNayroDx03jQgEwJD4DZGZ1DnVTg1Yy4DD9oD4Nw+
TGLkyKJRPwC5hmI1JEjl56BFuhklwJvVlN0MLdvLztxBrSklz5N2Gd7NBcfgWTcM41LzXHvU4S6q
dKFd6bexKFl/LWSxI52psJIdYwJvKY7GPlnwLPxLypxd00OSTflnAMKjFEI0CcDpMWRlpa87o+xm
LTOQrjmkwbMbZ9YD8E1/Rspq7CdzO/alh9hkmn/udP6jac2NiGxFB4MkLTa5AhB8YeTXosB2fhjg
1egtoJGRuvSy+NEEpQrNcJg57GcMXT1oT/AjPaD2F25HyZyTFw9fTKsz19rodVcdmWEHBMrDvWUn
Flg9W33VOKX3JUP0aCqn5u/ayLe1V4Tf7dQLkTHmdU86KHPgTrS1I5wSDBv54AtFT6mhuOkylKYB
QvkC8SCG+OkSbg0pyEp2Ou+xuR/dE/BaFEyn5XYn1w5WgY3jMTA96+YYmNU1RmR6M/QlUPFbHn1u
ZfKKCovoMQdMDwIZOC0XUfQ5iZoEScjcRtEikpqyBEkLcB8gFCWtzh8NxGQNVWVKvdht3csUHSYN
3hgSN2nf4ndAXiq9t09NCzzgbRon4Ags5ReSjX2CU2DgnUc4owFDZhUPnXgMcj3/ADTf/EM/hPWq
Dga+zUy7uvQpN/bAaX1K1AhIMBM7Rlm0S2q7w5YWhSyzGVxyAP1ogUikIpHMbdIzZyjqAeqJ7VOo
8o8yjw87AUQlfNcRkQ6j58hi4rnmiNrWFq5OQ8/S+KU09CvQi9ICqJotPAQeDow0g7SZO13Jlhqc
jd8slvnKguylwT/2BQL1WlwmPhWY1cAp1QY3+9i4xROX9veb4Gsgu2dHltnxLvr6Lp9TDVyvAe1g
x3c1sqCP1FgqUZd6VED0O9li0gxuu9Ui+5lsF/myHKD+3pb7o2yZ9rsrgpwk9gc4FI5e2x5aoygf
dQXRi8R9PDZa+UgnOKVzYvamK4Zq1tEJTukspaPR+zzNxrPaGz9jPjUPQ2Dgvw5qe2dfCtfZMDl6
+GQAUjkykD9HTRpsWsf1UJ8JRYdyvA4UflDDWRtFa5RGmdu2DL/NGrJMEyOM1tS13BaZApU3bItW
VAdagxokSID24L6b6B2whSSyBhc3bB0XdYdCUd7uszCGH1wVob07aVF1Fg6z07ZPhp8AKa93ZMKT
GJBdszofm24/sgA1LUp4o6eu4NPPoqnrnRMYv9TLZf55ZWASHt2wt1eFDQqNArCeX5BrijK0hL+k
DIWMIJkpVkjBqr4YPZIXWkTmLkHZSvBFIFY6uuWXwrSCbehN4ABRQzW9wJFyGzoBX1kozXQ2PGzY
MUXI8wiC9EFBozJ2JCE1XsPTLZyYH0k+m4QOTDwXxSv+YuikEyC7yAqEKOjmPXy3epkrbD14q3Iz
W+dOinIkNSI/FWUUC9YawFkavi1yB6Utaw1Z8as5MzcEJcwakPDPKDOpLkIzyktSlP1RE/Y2qad8
QB43FG2i2926seTPQgvbXUYamjJ3M+yDt52J/P0b4U0XMSL44BAXKJ3q7TJ0LVqc7HLw3q5sJ6jW
JCPtfFW6H477mS91o2lK/acLLHonwAY1F5rvOA3qDuXg9ohWo6HeMrSZEQF+5p9qpx77k4MflLaO
kGjxPu1mrRC4cG/z5iUWq9CqcABU1/7dsiQz68IMVk36E4nr5kEicz/zpQBGpKXAHam3NLkBespl
GIYo1J+tFyHNG7wwXlepFW7MPss+OroIVwPKGxDYwTDtshzlKG1+6YcJx5GCvZqF2T3QKOLOvi1q
73FKwQJRonq57Ey5H2qgP3UoUPiwNGCAAxVczM8esMC4nykq9dFFqAtVcLzAQbMWowb0ll/NiFq7
edgfeSmGizH5KBZsTkw1cA5EQOtA+CzTW/5hyC186qwKQfETHzlQI0M/LLFfyWLnp9E6X6vWqz9r
hZxWLbIOHweedUhBtEGmEWUWso9EsScYv6XxkjC6RN8XAfUYzgXbtul6OO5CCyEI7HtQ3cuy8KpZ
qIa2ZC+AO1v2O8Bjxb7RGNgp6UCd3URiLMAQ+T7mvVVskUGQw6GLH90yDvp94STpQQZNvbLxQbz2
KIVbFVk3vhZN92KnzY4gKxbwCgK0EElubfFx4LN4R7WQYWJP66RAIKmpvEOPqDUygdXWo0qCMyBl
ik1oZ0j2Vh6c0Uq2pQcnYIF384HkunThBQfCUZKWqJBCQz1qmsgrTiiyQwgolCUOSRjOCkOkb+PU
nX51lzkK5g5IY/80J3XELbaxa0DBsrLvrh5+ShW5Vjc3LSCv8J907O2dgoxtZH5pqcI1gh9Gnxew
zSqAX7nxaZF+HH9yE/dDe4kcWaTbKBfg5ZkEIOtNG/VkYdQ/DmAh+J73Ft/mAAQ+UQNOCeT0ATgx
mApxwpswxmvJMMJTb9voks3cJSmNka54RKKKszMQt0eGZgrECSTWhSfqlfmIxBItBI8XdYckwcKi
wr4JzMYkupsxL3O3Atm4To+bWJZZLkA9AbThpuXDsVO/1uCQiDdNqqE+XQ1rFHjCpYceSjvxM/5P
2d1QL4BXYDV/kynNtCcNDylAKNZN0w67gEcgVlI1MCYPk2nu0tjNOSCSLaFvaUgNV9U11BNVys7c
/j7PKkycHBuwnQz6YD8H5apG7sizVINUNPkqabFdZqDrWEsrSzfW2FnX0WizY4IMoMrtbAS9AuC8
zCgCLjLb1nfYaJ05oF6wEnB8K1i0Oxw0IVL7HHR/FbKrTkkTbYGYku3NsP07KSp5DYUmr9SjhsdT
uZ565FdLxt4Uw3svaPiPtseuHy4glEQ4UbbjICh5KhORrqTtDt/MoNuluYtDjlXh8wcVGcJdgAws
8XRVYYhaXPRs1fz/ZYV6ylCQbm6n2H5e5pN8WZ16/0FGd5HELPctVyIdtCnEmRo8Z+LceQysPGpb
eKdYhtQD3mTW+NRtjYrtgROvvhNvS92b0PhOrWnIs0CCDt/MCq8bNoYOlqu0qOW5jEBw7+eq2+Nb
DgIevPSMCLXeJCMb6o1wy54Dh8kz9UgGt0q0lUAI8ee5fzScp0ziG5KEs92yAPUcHSnaXpDoW6/L
cEee150H0cszXIiIPHPgu5PCZRy3SmpDVuiSEesC71hUjn83mezu5yHBLEPIthlWjrrUvMyN0TT2
r0YRJwfULQdXCt8ZhVduewALrGSD861PGjnx8eLit2twzH7X610GWlYZfuI8/OkNcPVHRhR+QrDW
dzqneG28CJj8Q30eFNJpoOkAVu+9U2CM2PAk8jS4hlT5ffLUGe1b706GTCyJ8nsLKeRVkG3tlHEf
RIjTDrV/+gdqRiHqXZ420arMAjbLhqiqriDAWndkNhQ64KOk/rGLJKAb36dKN3XWLQ4Bm04D0ozW
lHzdCLy/OtVIVADPPacqwCpGwt+pJZyr/7JeZv9uHk3ReqPDW6Gc/MX4P6xPxrTAcpu/vQXgGr10
Kts19UT/iPSUsMY/hJqmlxGSeZqLy9s3UeFl9cHKdQDkv8vsMK62k8RGn2aRQs/1YOVhS+JPrAaK
dRBs8HsLBLocrElXngOZjYRtio3dYILI50jCYJyQTBgk2myuy0o6W7zy8VJ/b2hirSYGLCx3mu78
AMhYtu45cmjiPjAvQjVVN2koGVDdoa7P2KK4BxotDX7Rrf2EUxt8KtoZ1SWtOvV1BcP5TzU0pIaG
BRhwQMCEP9RGYgersd/izN71Km9KVzlS1MOjYs49bJf0dcPABH6nIGNWVD+xTeEPTQZ+vdrKplOY
SvbQ5WADNMMx+5EVExDfu+JrjRDJJohq8EJ6H6fQAvbAiGoNlB6sWF8mHwIrGT+YLR8fTFZVXzrE
lVf9aOSPXRaF+7jrwWLgevEDUCCLdY5kejF9DqqmPhoSPISVbu5oxDUGoJjc6kADrbok/P3YJStX
WZGph/0v4qTvY5oaILN8VtMwbs1u5crse9m03iPrU7+3a/wo9w18TEhF0/euiwqUSuA/GxW6d2zr
xjv2pRHaK+pSw6OoCBDRhX7ukjTALzyQqDQzP5RpO5vfzAwibdzEoBv0dVdHak2FgpMTNa5yNFCP
oZ4JfvcUqAyFSF5IRm6IxYRkYY6MVDzF1g0FTy9r7NJ1C9Q1BK1JrD1E1kPNkA5v6pnAJ88AjaLg
twAHZW0d4vNZlpBW29rHZTzrp3EdlBrqF/02rIt9FcXmq20CBinphLtvA2m+WkYR+EOD8hm89hGT
8o4gwnvrhRZot5AwBeFNl/RkTj0LiFy5j5wmPk/PJdJ1nBJYdo4KC0wU5KOupcbUA4E34oGligfO
3T/rSbM0wHDATBrfrExjWo56TQJgzRDQNX+2MxsXJ8r7O7hfku745g5v9Dc3cnf1JBA9oA5C/iw7
kT6bXQX/KSBPgK+iUrW0BD4FhIAZwzlnQh3RmrQt6Bq2NjAUtvrY25hhj4V+MsSnOOyMYxgAT3BT
ZOmvrlT4jzRGZRT2IzddgGl8423lbsgmU3Mk2dCYlqNeCruiESWSjx3vufbCj430pm+aYAHwC5DQ
oHe1uDoIRa6k107fWjt+iF1URNeeEfvYaT0AGASJewRUQhwwOqGVZDZcQ3YygGBEQZiQOrCMEaVf
WRPs4Fv/ULixe6IGuRpvPRpOKIQCXnWEKoz2TS7feyT747ACgcYOaQUflyVB3Nsi2PW+wB/n6iVy
+8ZG6KAX/XU/7WRh8nKnNDkI1IrLOup+mW1Hxzu7u2vScL4bMqR7RUjk47ISyZer0/DmFsiQlrEa
4GuZNsAFACvnbIEqc257J/qUJeWxHoT8nnS9WOV5IB8ApDqdRwOl2JE5dt9F+lKzSnwTZntstMa4
6BLZNXaKjM+2eoWH3nzVud87cJ1kyIyeQC5zQyZz0yUViqtOaZK7gESG4dK0xEezjMWoiESmYrWI
bpYKHJAVxDUoepGEB5aZuIWvrk7eeiRbhtS7s8vtMUJxyvsUA+yISJJ+X2dZwiJNpDSk/p0NyWhK
7Unxts4yZbmMlkzDGlkwAglQqKmadFRQzb0eVVd6F/4t9LzcLyLqcSRD7ACc6I96Y33Siugbak6C
B14m0WsyGahAHcxPgK7Wt65nroXuxG8HdDsrUe8B5wJaRm2uDlfNiJ0o4KrDlaOOaE2vo0CEuqSm
HjUDoJAL/3YVEtOpnbl9Fm5niyDLnf0UoBhLrXe3CFmTbF5osdHVz28RgO2XMV0eOYqjUQmGP3FI
nGFdTlp5sFPN/GS78R4QAaYwmoemqlFGqXpdp9kbOwVuBEe2j+2TxnFrvPBirggNnvtYAzSiV3Sb
IDYjZLmakX1yhwTdsLOtU9GXDaB5qIs817XVANMYmLzWiSzxb6sbhAcwJptFM/d61JrmboDc1TKu
53lkF7RYm3qZ1mjrKGbDmlsoX9UqfdoQGECDvaePjKT2MqKI5BPYRAkyQHNcVB8BKhHAu4jUDR7S
W6Mm8IDvhKNmrI6uS7PIzCZFBIvGrsu6Q46iBbILrEGcPdUEw/dIFqgWnlAK2kzRg4gtDVRQcVRu
S61DsTOT7IJ/RVZhg1byFfwJ7Xo2cgDU6bcdC5A/DCOkZLBL4UZ8DxyI4CK9bd9I8WoqsDVDfxso
MDUMSpChvBoKaO3XwHzT/GPOFHvVo+aEG6cqrWvqBua1wpZ3VdeI4QCky7ouijR0SwBcoUpfyUFM
pxk+mRRqxjgKFwWcWIBk1HPkUJ4B57+mUZMAH1LBs/F6ZQzGT0vqEXKiARK1NKOIaxSyKqHDfuLo
GB7ngbLVo6F6Uy5CWiWINeTckRAEQLcLznOc90uRea6HcFvX0sWfM6CEbOzY1iga9yWuJCpUbAOY
aoDHnP81wgyr3YgYv48UY3z+6j+RZbY5rPXA1tdaDOg2sLanyP5U/x8egG/EnNxgI3kM/iYSzt2+
K59ipFbt5yEvkTPSTE6KL4nMTmHyq4nHECVeNOZR9qZJUys7gQIUuB1W3M7aZV5TMcdd0RREKFEL
TOY0O6XVyLQyv7J+6s5IH25WmtrOUjYgpf9RIuAyNDm/VqJpDzepg2TCYxGfmxqvxLbGGYVmLE3i
BMHWAIYYAMZz43JvU1oRkHWcVIDvBurlmrSCCT75MxLBAQrarMquzx+WdOzOqFfImcsfpKJhJvlv
RO8TW2VFpsqK1nKmfNzqJYBUHd1DXF8VSwNfLTsVU4mPm7rUkIZskMh7DkKc/kjkObp9sAYUsAYh
SvRAvX7CP1J71hPL3dojSl8tQJY+hwiwX4fQ3lRyUvBxm7jIHTB0D47YWFa5CjHzovV1+zCFonuw
CgM9/e8EeUXX2YrF+wRAi6APGwzEVD29fuhXSD8FdafJso3QSnYKzJABwtGc5t6dbBkudm2ge2uE
S3WfZIuCjFHl7x70Efn8mlF/GAQQp9xnF6hNH0hATdvb5qpDpQcQDet6VuD0l4CU1zvd2RYdSp8s
Hmn7DvBs3Je6HayTGEURKpZAQQUc5NwL9ZYARZhbOBf2LkIkSjuDbVMcQo8H96DmLsYVqmUOPC6c
xsNtB8kFYZRqRdGJCt8hsGq7zWODlJMLiB2QAg+inK+kQEgUVUhhJhVkIge4GMh1nCfJEX3G6XSV
TPx702nemRLUQD4Zb0KnHOZ8tQ4ZfUfRGKNPWpqZNd9pMABUF4hqpvRbtTmyFIQN9ZaG9irLkEyC
PIlRCfbPKbSzWWT/3eY/XHVZFuD07spkNkdphPwqWQmyMTp7uAqKvkD9ybjv6OhCXZJSk6tjSmG2
gbOh8TzLZpazljxDxUcyONkmdaYnwMtWO8/k2DLSM+epJ3cea2BUrHwXWCQVypVVf/K0aRuZ6Vcy
nWW/e8odWm9ehfT0EKvLcXU5mn1rQ4LRC7KVYcK/0xu2d0RcgCMnokvseYxyHH5EDApHaNLXSg+g
MPeYgD4vgpgslrnraayCE0qHgpNrfugTOzkN75IkAIEyNf+7DFlQadInJ5c3P7sg4Jvcs3AbqqFe
qEl+7G0RII0fvf8gW0yoF0U5SH689AXF398RX8e2oONi16VyOrRWLB5B/IZ/l97Gf1XaJ6dh/fcM
B0IZP3aAO7uEZpCvkG7L1xJpdheSJYAqBT6lUlMzYM8h9CDZkwk2YIDHnLXOuW95faYBiJpFuza0
JAG5c1UfdDs+WwCFqpzSR/ZFcQWWVAH4/qy40lC3HIEgpPFKo7j2xpXwvNi2UAjfPsdRmFyCzIjn
RqihW2g5mIPMcUsKrc5wm4sh2YjI2IpsgOPrn3NpSLZpi2AjH9sV2S9mBkq8j2XufY5RAgYWWDv7
qwUCphY4f7XJiGodIy2fvLpN9gxvu32oleVjUkQ4cWQVmY5I2Eg1JGlF4PMefZQkDRdqDC76jQtA
xVVY1MMF2wbgWlGX1JZS20odKbUgdUaZZy7P+01VDYi9q9XyEvVFfY/k9MIVvYncCdCEVLYG6JEC
pQGaBWoWX0/xexRYbIV8avdqJBpYP5oS9dv5iOSVQRkKWxladVrss0BDEYHdeG+WJihT3VbC1UET
6Qo5ItDreYw609OYx96+b7MN+OPDB2o6FTtFQkAIipggO5IsGH9pkZeXrBtk+qwXGZnUgDwAuxL7
6qZG+KB5Q2j5pDDSv1Gjb14w09mK0Sqwp+f4+qkm7LP0lEh2O1y0vzNBKORkjU2K4Gpogqemra+o
NQDdJIrr5kbTmw57V5SZkIy0i51bIG7E8HwAbg4z4Dd9m0Z2gHX4hLdOsF8mLIuYHny3IsBd//OC
tEbcnxgQBy53lwM4qTxnFgrO368G2twIOcqVsUE4qzpFsv0x2LJ8CpEa9KRnIbgEi8nekCwRSfnU
aOwxAeDvmUReX2ZXHnkHsp8NYq5vUcqYgFbm10IOB0OBFo/JkUz0XDaP3nTBziGa8Jm/vd7Vm/7m
JU9v5vkdf/NSr/Xs2xjiR5WzkWkrAwUma1EgydcMLBN7YaQDHyJDmkDSwNj08AQPrX2gEeo0wb/b
5ZF1GvsAXSCuiD0wTB4cq0JyflsAKRjIxWK3OPirWKV/paZrI0sqfCR/v2XocsR7AFv7TlnP43cb
m9K4yBLJTUBdWtadLRMWO7SapoO+Y7cEEpYlefVZjl1U/iiZmf+l8/aMAFy/t/ReoPLFFQ/UcxnQ
2u2W5+s7BXOR7ZaE/PMiR5kDCsGRVyXxY3ty69w+UY8aFgUWvAATO5mXRfBHy1GZL3Y0pCU4uLJG
HbAU//tUsiUTY0gT+NnULTHw8vox8jA2pL7RLOuDJg4H9+XmyTLpFKo16vFQ/I/7Wha/uQIJ726b
1Nyup60wrG/LtJsrL8K7pWlY2B7KYiVoJDR8ocBb8Y9PhZa/m0brlWRdJRKYMXZ4/N205S+8+Ruo
Sys4yNDlDjKN7+yW4c0dLX8DLYD7TfEjBKoTGi6L/vE+bj5022Ygmwcqy/wvmz+puwssN3G3tgkO
nX0ZpvMTdvMpk90ybVlv+fTo2QzPv7P83X2TbP4MaDX1XA4od52fyz9/OHc3MS/dAS4k9Oq355Ju
Ybmxm7VIk6G6PewUqlAaFBcnKsoLEL3iwTfzXOKXoALMc+f0iNq+6x1upaeBJ2s9zxIUyilFmVkD
XhyKDK4bEndDwpuJIaAYDq7GTzdzlhXnJRgI8BBrind0FzfLxp6DJHij+kwyakyg0Sa7LLGeWQfQ
gHlImgpwQFtwZMFN0o2Jc+0s8GNknjiSdll6GeJ8Bv+dKQK/7N3QuYoYtTCgbT3NV6I/cpkHhy74
YCyAZN/8eaSuw1g7F2JF027+zvnzzIz67fMkfQ/EkWQnuExPkZPefpTLjVGvA36Un1Y4f/xrSY8B
TyiokL0UozqEOWxL1SUN0G9Ln7pzdQnxOevUUqUJSUlPTT0aP9tgEttwpn8eUKbi2V1+SiPfy5BG
TU0FmlhexTnOmL9E05g8dBYAj1FE+GYFFJ8XcPGMJ7IiudGV35A/bR9LZUUiu0RNuDTwT1kWExKF
JQCVrQ48kcBUDCVSGj1hsj1NwU/KhSVjcJBdg9i2i9DrITHGBy0b+8ssKxRaO43DeJwOoEg4L6JZ
LqEBsE8QHiczOt7IqEtNagIF1YYvBCArb8uRnJbidbqu+4wdbj5dHL5P84fLy6zcgJqiXjsG8OuK
0fuEqqZ4L2UhdnHp8C+ueLLjIPvWpoiahXYzHFpvkiilKc/V1OTf8i4L111pyDPwFOUjmNpQ8KMU
oOzzGTwkT3DClM9GcTTaJHlxhRW/MBflumOGx4Ap2QQcxG016sNm1gaALYqE81euyrMjHNmTARUS
VgT6bd/FTmqbCOCCk1Cb5AQO1wz4MGl5mZAqhOJAZb00cB1/x+6m2cFvltTrm7X0oXTXUQh4INdi
HtKNkF2CNJaDY+FJslSDUjuuYgWqJSk183jWtY6Zn/SQe1t7CFCTneYnsiE59f4o62S1yQrJzoMr
Wjh4UfpQes4DXJG16+vwhqAItgStQTv8EjZmnawmPTC2ACcY0g2YHzc4UmRId1BzQKMBFC93eIrB
xgC359epGYFckBbNQUcQ9VOmVxvOK/ERBJIrbRQtDvjKTQXagglEwaXc1AVo1AO8DssDaQJA5JWo
xYK+CxnsLWCX+kWkA2vJbKS2yuN0wglbdV3ARa3h0U/WNXA4r1bo+LoObAu/UwhGAHXgq4mDdJOg
+QmkH37d9toazmyxyLXQ4isvxqaYplp98ITkHZxqG4OtNPBlfLbz/hvTO/1nUWbIaTWQHWxPqLY0
q/Q7Q7ganrkie9X1zFmnCrUTYSXycwOBJ74AessHukHk7bxRR8HRZFVwlARINhSmY+2GeIKjuU4P
BkA5D78H9kHFtLOxgxYpaQr4pxx4u8sd8wUuKvNYqDxth5nIzl7G1KPGIs29/mZsq0UWe1puGVJv
KgFp6wMxLl8BPJ2BXQc547NwXuhuEg3JaFloNr8fI/g97MHTu6k8JkoV1S+QJosmCcq33p1Mx4Zl
y1j2jeT4yjZrOWX9CokcwMpUUBLUTADLXQF/UGzuFJ4dALc7s54nIOlJpD+4UeztAKrJgCCWe9vB
toyD3o4uIAOnyCd2FLDJxk+D5840KiRqWbYrBzv4ECa6/mLaDTIT3Wo6paVg57fMjZFZ8RGwh0Cx
QLUr+QUBaP6cyiS61mabv+htItdAM6hBIYIC2BwOxQPeruEK6AH5Sw3S9sch6ubprnT0x6IDQQVQ
CkeQfaKYu1d14IWqA6dhBKLTrpRAnVZKsLbCFcGNLDwYmveZZLZSUI+aKp0cH84PuUUaeQVS0xO+
ixIAoGCpHKL4QCOgseH1NzQobCuA7h+s7rutyscjYcrcjSedaJ44QxgtWlrtfvK8uppIV7xRN+pW
MqNtT8HakVZ3qrmL6OY0iq9Tra0iQGr+qJoRbyjZ2A+LBeolI9/QuhJU4Xl5lvi4Wx+JLuVZz2qE
W73JWtMQ9ebFmaVR2iItQBnNfQX3sUMu2ccbfYcQr5+GLNyDiVMhuY3FEYmQyCvWvW4fAsED5D+G
fOwtoOD6SYgVzQI1nWOANwhgSFcMRWJnkrVKQcPaneDipjFpZpsyfQ31Bqjjym42IcWdHQ1LD/nX
QEv53ep4rX5PeF7sPGBBSd/gSBAIJH5+OYqKtC03G+2MN6mGSj1FRdkAUz51AEJ3tWu32sSAQPWj
UWvk1QRF75ZZUfQ2zvGS3nfifzj7ri05da7bJ2IMcriFyqGD226HG4bDNjmDCE//Ty3KLcwu++zv
3GhIK0lFdVMgrTVn/BSQesTB98li6sbBL3D98jEsDAmQOwYyu/kXiBqdX3899Jcwj+dvfdkv2zrZ
6ANLQI8Dt38b0F8G6Sjuwoo05F+iunX+8xR/dSu/5ZzLvtr2t/nJ4d/zL43nPs0RtXhVzfm8q7XN
NrRWsQTgx2dboCaO+EVtnAfTDp0HDUCKrQVkBj4gMTWZhcftvA3YbBqMyNtzgZE3HFAG9o/RofgV
JDnaLYhqYV9Qz1C8y6O0igTjMrbxnYI1dUMBWz4j9YAZOpzsGCRB3H8ORX693jyrgBs40Wg0UaOh
FXjSHOW0Bk0zvyVTkwRTcc54o2Sasu9ZcRVyYbZwIw+hoR7qsG/xhILs/mvQLs5yZKCgXsC0kH/h
OiBUOuhy8uyXU3u1eQPGP+QJl33YXBMgtEDioNIb/Gl4WLZxRM1Q3iw/+cMoHeYheF7lgzwG8j7g
ONxuAywvV+ucbDu0YYqsIp6/UAAvttnN3QDXZpbqKPkC0mmhenEeIDlsCBrjvOiS/URRbFnLtsgG
7d0gtmE6h+Kh51km7jovgKJYihTui1J5vWu4XBmPEXBUPbJE6XNxbLJ2t1gxBaQJZqHa5x+kbKp3
dWhVp/b3JlLjeiErusRHphZHdPlNTl4kM0EQOzusTABy1aQAOfxtjoWQHFc+q6GYxW/7+hZMzDoL
Vz5ieFd9b1YxjVitCCNk/+F63QslZH+8VsJEzCZkaViiKrtVkeAbjODukLUPsjG07/iIUsGGyZlH
MlX3/hpRztibDi9vn9IWm3tRV2HHCo1RqW35GEim4UWtCswq8K4AbxuNsKFhkAwg3inx6B040XC0
8u9E2aHp+nCiXkxsH34ASg8aByF6IQmpS0JSi+EqBA2FbKb/IOtV2HuxOtyVb2wj6xBiTD1q7oX9
D7OQr8mvVNrgbeOP8UghLg64drAriurQTcfJflkW1GfTqnayBnBPSR7r0sVOOFpSg8l5wPMUtwzA
U5Lu5BK4jRVAU0mmlmV9znuti44DDzR7jvIYOSB5gxN+/RGqD0C6ylIUyM0TkKoGOzqSjKRRPgJh
yUubEEdwfm1Zijfiez011ghB4rAEbDekTBXALJNuYUDdmGuiqWLdQRhZhdp3BycBTn/p1EjT5FFx
rHiLsZhqEU71gfviCat5foqf0yKoW6YhlrleVe+3sr4lA4pIzWIaEZU083pXwkV46orlz9MvwpF+
sSgx57yQ+QKSdP4UCvhULMcej4TG26vAqsQhJTB9WzNDV4D6GrnzzVc6VFFIQPetLEs6UW+2o/Hc
Je850P9q2tjSt6lBcj1NO9JiqHs/soAdnk3XH0EsnjTGWOEEln+Ogc9B3muXxQUglZji/8f8ba5F
2EX3jzPQXH+5xOKDiVXxaye+n/vfivBbfD8LUxGNeurUGPtESlCcgroErcJ2IPNz9lJZPg5+QBKH
fSGZveBEvXtJGOgmpsx5AgwTe2lGkJjrSvUA1nCUqMQgeQw0GWfP/bTsSYW9lBUVtm1sRXFuKNQL
7GnqOoRNXaPieIMESwAflAEYaUlF2NQd4M/OjewDRJeEs16oSFj4o7EDAtg7ugfKaY5bCU9V17fE
5EIELiDmhnQsOvxDCympyItksyuNJ7InPTV0p6ZepsuolSR7siQhq9u92uCe+edSEKrzoEbUfvgh
CvlbFhxGXt4qLNZRVm5tgiqhIYiCf1WerOLY7RX7SP05rbVRxqNkHF7wHKmZUQkYohQvo72io62p
T2K1MooLji5Tl7VmulO4KcnkaXjpgMZwTPBU9+gYOMrPdAAEIklXr/recJHWgYP8cRaRUc2V0s1y
NlIz5aMRoxY3zyWrARclYPuValI8pQCVxLcyAalbo3SXgm/ByYWh7UCr94lGGRdRTzT3ZED6AJyh
bY2zMQ2LEOfsQQQC5LXiLSgpZuO/yqpIdm02pSexCuqtpv277O2T3VvOvZVQOPq0UQIYhKaSTji+
tHZ6bCcuoMutdmNLXXalJraB1ZN3XYiUDxzjaIWDsl2kQKMlPXBvAMagM2x3KtiBXOpbA6hCrfzZ
QhrAsRmx5QECu8nzTT39VhcSyMlT6weIy3I39FEUopkWEIFN8P8C6sF4BAEu3iYVKXkucNLwbtRb
AI+Z4YMU9P07P5uwuzI430lHTQSoVs8EWtwecC4hcqU4PJMy+U9hCIdIrVEXqiGBkoYUhIakIBkZ
TxVQ9Gy82wZSrX4fm3J8lfS2Cl1FAzlR5h8NnIgDPwvITUBDmJAdhMJe1BXybopHhkurSsdxyKIj
iRxf/2VoGUZ5M+Q2FEe4pebYgZqJR+hF8PqX4axeh5yX8bYqUs+ynAdarJJUb0tbT7NYWpeFJ7G0
RUTqUtObWXOZNb+uB40o6mxBn4DG88JXn0NS1XSfO6itkjowegOdFlBRox6eiLA7yqXwYWyGS4hn
QLDB+k2xifzGAEcojMmDemRsowp4oyDz0QXlcXtIkgiB8XgifsrEj5b4xfyjTPgij+pYgtD62Jdq
iD1KNNRTpQYpRRXoZkvWhCjk7PPenW0sG6j3jWp8SIwyPixk1CVzA+QpAKSIUMKC5IgwL+FBsrlL
hj6yD+J0nHhhYXhdz0Ljpv2cBHFwWbhSlzysGnQXvrahQUeLou681LB10nM/MA/g9r9PThHsOkEq
LUhtyGUdgsbWVE8HppTPswmFma8PdcPa7Pa9rn4DjX3X8IOv25Vrm+BnUQI+J3pqi07bozQ+uNQp
UmDCplO2ONoLG4BeQDghPebWpbE+KrAkc94UBlL8KwVZT7+JV8NFkKlxYoAvAZ3kXrh7skUsvkCw
EIB6j8+9ULyth2SoWI0OTix/RDoPoIQHwNGaWgdcMCQCvhgqMtd8LX4mEVkAwnPckJJkARLvcSgY
P5NoFUNL5e6C7wtVE7+VaLdF9BAx/C+t5PdKtZ3ARPH3qkLbAabPrSJchFAS610TaMne50dfNqVp
vzUOT4AN+XGXhCINELA6g0t2QkHDlcymNNmVDQ11C4AGKFkHMSmCCjcRhRRk+0eZw9eS8rVUlhO7
kzHKIEoF1diCW8zpUpQWEAKewMab9QzcD9uh67FNPhjpoTfHAaX/XfvU1nH7BMrO9qnImo1iTv6V
5CTCSeoICnagSZIZKcpODq6xriGfCp5CPig4t7GiyTkIxaDi+cQp2eBSOH8ARIKrxe1GcpCjEuQF
YOONwjopjmSCsVVVde9+l6xkPObpnqMM1snpkWwJ6jEifpDBUWTmqn8EcZddbATdQ0vY6Bw0fbLk
XVal/pGUfaEP8QOX4YfPP5oEnL5yAxv52AEnF4+BOLM/lB3qcXMrly7U9PIgXaQodphrO2qwUTPb
B4k9hHdtQrvqt5zJwF3ZzMEUFXFyI0cdfR3+EBMsYpGJM47AhMuxt8AXsgoFqHZEictaO6MSH08e
v61VDKmHzLpuV3V+MGNH2TJeKLpRxg/+ClBKv4NBNcsIp8rk6pXNQk2YVCv1WkZxVjaLoVCjwFjd
TD74GldQV7SIlYyGY2IFXglCIhT1ZTFyM6QE9wK6QWAT7oYbQTgONKxLYAeBq+EXooSwaTnAxE2t
VRsgwFgHEWYRVghF2IhmpRArNQ3nsCu1RXctsQDqIaHXBZ1Xc6LbdCO1R+ao1kHcr+ffFzEmO3FP
Z82Axwe8rwj54heEhIsxhZEBE+/hR85GVVB0+4Fa2Cy6IiZfWGNh24xEqFPAE7jQsizCOaYcJwCJ
xmty0AE6sqtt4zC/VxdVc7Ya1HTTcH6vDvOHaejqB0VFBvLMN1nEPdvLHFZKqtv2oteyZw+/8KVI
TiBRugEKyaTMwxkzqraYobhkiPp6ZTPh12UjrBXApJ8j/KrJdozq6jIAI1EfaHtTy7rsu58M5RHv
7jM3U1190xXkdidGVWY7EA80KDQA0FFi9oPjpYWKQo0MbEINB7PIAAp6Aa7eAsWQgAfn8TRIYJAP
MnAGZMFWamTtSo3z1qMhbv3bODDS80o+O3ThQ5b342EKUMipK8qhtuwchWRTfinfeiRDGbaEJw8u
xHl2vOt97MqSTTf60cbQFMVrVfAaabW34FIXTOvUS/3U8IDkG29wzvstUnt1B1aCaVMNfI+aJwZT
E9UVeMpUniOcdoZTzSoQseCJAz8rXj1m8YksG+wden44jTgLTkEPXTD/DPKwW0/I8DtmbFUQuuCH
DAi/BmvSrcVrEgAGlz90vESBenqoo/Sda2locJPZjo2ZlwF9G4jvTb4dwUPi+WUFynaQt48obkLa
Oo1x1v7Zr+vyQFdYyKfCxhteGullstXN9qXq5TO2FsNvSMgtsEc6Kg9gkbauLJbxv6PY4TfdtvZM
K2MQM7Tq0bCZDSQV6UejmskeRIf2hURqkt16vmzYFxqa1gic+GHUXTIhY2awgbmgFkKtmhWzzRAB
dl9XsFdBDePDwehQ+JppY4X93VLdzkKuCQIbpLENU2/mZQ08EKtoj8XAq/pCbfxU2fgq6kwPzki4
GD6B0p6FyAlLHcc55wAT9UgcK9nKStKZ8iRJfYE0afAs6PUQbHwAF1wnw+yvFbCNsVMVgJWcQ+Ph
ZbV/ADCpFFrYDMkHoz2o9vQP3nCDK5gHgyv1khG0clkfNBttTLG1zLUko17W44RwRnCObat2cdYd
925mIeMiH3DaBnj+eUSiSjWhHSRsrhWW/tWi2ugIp62bqgVTMJVOT7afPgTdV20Mokc2msDQ0/Gi
XUw9AAVJmKs4Hw2zDhX/SvhIIupRMyYBEDcd/GdtG91UHljmYyOlKFi2zY0ISPMSckvcQTcBvwfS
NhtPwlsttGxP5D1FTosSTAXFWXIemqcWQIpE2mI3kQzaKjCBgL8N+UwDZ2YiNiVqoirld9RCBz4g
+JioIRMicxJD6nWg9d2rvvVBBCGzNJOSY6nGX+wc/GxdmSTnjJnZVZ7CEnTQYf46qP0PJUUVOZ7C
foQ8pYoaKUJPM0DFWKKkEAwovxQjr96XVCu/DngmAZkvO1VKd9Q4cgmI7Q089GW3Hsna0YyPvs0A
hwklNZmEfDrAY/wyXvmuhmSHXFqkbbYyCpvrMN/RTUHKS2knxVPriruFPhbIGxGaeSz0VdpLO0Do
4onDzEttswpENxYQVTknEN7uU8YAC8ubzEi1S5Ua2iXo63eonwch4u9yshCyPsz8s5k9tj6SOF2S
34tW60mwl8zin+k5MTFFGuOAYgc0Z9wOKnN0lRE/QKD5w72jCG0Qs4WFv8PmYeQm6qsBhIuDaSpT
6nXAoEXJiIWqoXeGgbySZPJN7H21u4qnolZFP1znHh9qHCgHBd/GiVsYfERKklOPZEhvBTgNLEYC
3yFFkk6bUC6l/kOsag1gefT6Qo2NwlUgmqNRAaQHLgncooSWFMKOeopTfQinWgZ8NYIIL7Ktahs7
SyKoCCWskxjciNjswF4VCcUkq6E1DMsVreyEMU0n4tNnuGecT3Uzf2rhK9ZPMmpWdsKYekG2ndOY
UOIUAmzkiir+FozC6iv+X8sDiQBPgPwJyqTgFjTUTbPyDNCMbRyeZ0F21IghErClbarywuO3ANQT
xhLKtY6g2j2LeahHkwlbZXhsI2W8rNYgrPh6sa0M1jq+QLEEESIHdfO83lqJvtugmotBpYonKNzT
lbhAol1qxtMhleNnki0UZEjaXk6Rosd/CxLuF6g43N20LSjb3/xmNbnUIQvmCcgkkMPnJD8UA+rk
+xzIO/wAvQqn4taNKzNSPZLe7y5sF921w1rlp9W4s9X6va84eF+pkPq7YcAicudxnaEACxhG9S6S
8afs1qDg8HDglW7zrKxOtj9+AObE9zAaiiOe+uRHNhS3Bgn7mzqUqmsUoMjdHfW0uBZajd/n38zy
BAw4LNV+CE8pY/aBOUDBUJC3BK7zKWwKZ9eMPepGGXthYFI7YDldhcotaWeHKGkwiI9GAvLizGBB
PaD2ljeSGrvQOwXH0Wl8wCbhgVguZhlRXwADLgbVH3cnTxLOvYDVukddaUx65UCqfCob3RNWSNlM
8FVrljsHJXuT5qSu5detcqDuvKhF925AdRpBEGTl4Bo0411Y2JGzXQddrH+xtFlK/uaEau3+eb42
JBErXngsopNeWM4fc/EJhKpSsaK0Db6RS1jjHqk5Op4Fw/Ei4SF47ql8uJJFKXZ3kKRSeEIxlfXS
jQKQzKo0+Ygkxf1/sCWvzo8ufG0HmlqsRIRcyPA34em9Bs63P80vjOUIG1iRKT+LlfhWUIDf+M5H
DiKQMPV9B8DyP1wKMWOAmhQkt4/xdrXGe74gzbF2WWv8Q7OKyxtKSXcpW2N6NAsNUDaKU39FdvlP
8D8l75re1M7AWek2esLqr0logWBXST5qTlgDXB5kHYCZsj875WvnJM0uj+Vuk8hDf9HNBA91vCea
QTJcqwpxsvUmr3PrZtG+9UgWppXisTGO53CkFcYUQMiAj5ee0ibbkpzMRDghE17g/YkAoRWPOxFT
eJAMyHfIcwktkFjU/viDfEXzxzn6NNrLraUdV+HI1S5BEOZSt7JBDW1aZgsOzT9crsUcadCdA/sr
mS7E3JOGpCjjHNHjCKeAepEq88UgzR+nMKPQ3/s4+BVm1PvjHH5gX7OOTQdx8ZFkNLh4/NY2tmGX
J2oaJSpTl7paMxS3bjDk4OCKuxS3/zdTHSjpk0fjSSoZ0sb/u0qEmkOTKwkdK0bUtV6MLdKnb0th
6igVB/Jnlh2i/oSvgvR+z1dN3YWq56lueRM1DPsE+ECLj6nn+XvQpQBj9y0G9cLMjg+ANpLPeqzw
LNw0dx6ampngIKyVHQ2pKcFn+ZAjneEQK3k82wHTAAiyvT94gPaxkW8O36S0nYfZw+knD4/PqIXh
vhSAFCB4VY9dwt6neYXzDpKRSaaqeAlQ4nMbBFgLycwJjLaV1OAGJBbYGcgHy3p2JBMKoJK2TZrX
yQAbbh02H0IriC+yjxfWDWjkolsXJU3BXo+6z2GRN407t63slMrRqHlyqQXQH1iPyCK51I3RDTsK
hN0onLwErYTyfZzLBWBDxQ2l+1b0sb5zOIAW/iFAkcR7ohEyv40LbBmYcbwrkU/tChsKZZP6XhxS
y3jjMPiuJVmE/P66WUWgZZHMt5srsi6qRzOolVfNcRMtL15b03CefbU8dWovvyq5ya6DD26CyXLk
17GONRxjDjYIJDAczABgUckALB2gQCiVEQKix6pQe45k7FLDrxuNqIkHpXiUzf4ZBEs1IAdhlXIR
yTuQwQNYQaoPK4eapZyAGdMIRZKDVCpONeQX65x7i4eihkKh6LTZTo5mAvYBCpJRz3QkZ2cZ422J
QhG3YNkJfefnyqGxTO1kd9qDWCdZGKwKrlYab0QIklMTpW6YA5+BfIT4zgUhpQbSUboggRTj4tFH
W10MHxhonqpqdtVuCjll2OHB87za6lvAFA3lNguzyLMGJFO0OqhCUW6Oknd1qh5kOcewbPziaZAq
cFbLIAmkYdKV5VMO9PCTKdVfwWQZ48vnsohZX/Oi84+zzB5G1OcjF8FVKRbZKEx7AI78eJ5t8hHE
y6FSht5sQxOkabBrfXzPxjjuu2gA0xKvSSsyrd5JCmqVRr4lQzLSOqzYDlOMKk1utrJt32Sk4Lbj
ZLArxSB3EbecZCBMvsUUduSqyH29q9K698hCLILHBKzsJg/09HNclqWrhHnyKbcrB6hkkfmhDWs8
NMVsevHj8B8wnZ+sqC4uQ+W8q2zN2OdZH7aunsYR9jy4hpp53JmKAZ4IEKQuhGujOUCMg/QCBI1z
dGEDXIjfQpKGAU7fq81c8WjYAPeyAvNpBzAqAJQbas92hC5NQNJ16bN9VUufhMi3MwUFOpOMbfYR
Z3kqKj/JhBxIQSYmSK6LDXXJRLLtT2QC8pStPkX2YQDjBs4j89Y6RcjpOimohqiRhkQSS8It0Vt3
yW4WcjfsUFqgiow13bvfXfgb9hx9njUAhNo+NrIHjSNMNRw4qi9qjfOg/d5FuWgPBs87RgXBcBZl
jozflZNFcFTkyqJBVTzqkhU1FI9kcxDD8bfFYHz1WZS8o4b1oH/rhuFCowmF8Y8SyAJpFJiD+qgz
6WQz65Wwulr8TgNhaMC50WDY7wzTecVtWDrJJX5rfbn2JzfGbdKTp6DYCgaGDm9Kkxv5To869unT
bGhbu1Sug3nXUO0Taz+N+EWhDcORY34mUwNibUfCrX/yh2JHGhXcw1IwsUcQpTVeVIftB4nZBmqf
sDUXjAZz65SNX+RGU11JyqJHtVXUR6FABRLw8Bob1JGlnhy1pg29hI4jCKSEcEyomSK/RZ1skjVe
2rFgIzQlHoAiENHiYKOn0wvqzkgnCkGg8IaEMovHmykAEQPgiSKcXKA0f7dwvU0FYou0BoLqwpMw
VBYzTY2pbuK2NPFxMT1TeuW2ssVMca1vsalfH0dLlm/qxWwhncPEmsW2VW9XrphjjiHGNAddFgCn
n6uOby6R82KFCt6ZdlWt/1iscv6AJJjtCz14n0ZJuRexx7ZhS9gYsqarh2pGkJ770XsSOaMM8Gv7
JZnqRD4lDD3J6IGvbUQyQJrzeotHz9Cbx0iYG5FrdC3wG3jNeONrapbugxAA+UUMcoTZLlWMGqha
1U8gRpcD2IGsjTqqGR5p5AI81WjUpCoeAFFfno0p2uthghphkpEJKbom3FfIvzPSwLjUyI6VN8AH
SYGOXX+rQ7AcpZaC/wfqzk0K9AQN2Eo4j9rqsm6dbSWoduCnlV9a1Ii6JZJHv2t96Q1d3PzsHOld
bSnDpyZOUcFW1+ojcwYd3Eu9c0gL/AvUdpJv8kTGsynK5vcMmXxPOChASt8wdUff6q0nakzNBBWD
ZQAi4k1WgHv0UGQAniJZmqnsBJo/ZCcFSXbBlgwIJ43pYGJjGY+XXJZVDqohsbuKsknekJCG4P3B
5m5qRh7JFj40FoYLP5t9V/CQALaMX6GkvDdu8VduBrDPLjh14KsQwai3cJrXFwM1cSeZzg8RmMnY
eQBYLcdsbt9FiVUehtZOvHkHPLAAKthJqO+mTXDdVPVnYBrSYOWg6clPrR/zvQ0u1HMM7sUz9e4N
hcxy2D5pKv/wH2zvmUwaCt5SpziKkGAV+E9Ti3AqAzMrauJST8j+93jZWH9UJxAoiSD3rsIfl6fq
gOnLxicxswh0T0bBV9H0CHiddQ/+4b/7/j1egX8JMPeU2fae3T2ZVjFQgok5OQAxMrlAUsb/GIR8
dUHuhSJZBvKaPRj65osh/P+ncBk/JFcrpEL9cZ4/x9OZ5cpK2Hl+Yz4GnV+fALMbPHZ2f2sMZESh
0qyKt0I2lVmA9yfkRMph9pPkFQhnQL7Afcvek1Go/0ByMiVxkRsp8u3BRj+7B3YEhwik7KbsT55k
ZhiTjyGBGKkBbpZwnsMnhrI38KR6Vq0w9fFrXOZeI1cRXmu5M5n3adgijQ/Hqot1WQPoP5jzr6X6
ivKJccwuciUHWuvQZiBWw0H6ZrEsaTSn46QbH0xauvh4JtB1J2QwXMl3XmrbtJNbOIAZmwz9S8Nq
vg0v1doG6RCmnPvIrGVIQGCBsp+K9ocvT6CNdnJQTXdDZJ5vvfp9aerlnkahnenenO0iB4HvToBT
fWZ2dsQzjH4tEjzlepJxSpTJeiKdZKT5owIA8zjH3c9jNeCgU6t9DuxCeZ4tklw7ggGucG8mWcn2
KV4DvIrCqRKOmdT8MkVtu2Gc6U9uh/opdSzpwWoDvHbkzSwipR47mWeHobNruS3JzAKPjsBdehEi
ilFa7GteI/9ZxJgkVd43umy4ZCEc2NhugOtgX0lODn04SZtERwIYzUK2U5Z1DyAR9EgElE/A2Kpd
zmkOxwK7hlj5PHVs9ad8rD7WZEIy22k+Yr+1P5EviaQwLPcdqOpdISMFMi89motGpEwzIEtaDXZU
xKqlrHeuA85VyEx8TPx8G27cFvisb5fPtkHJYKnVV7IVMSYJTwVM9k8ihoPXml3sAE1QLIscdD90
cz2THkSMqMKVw15duSXZrDCS9oqEwB2NRAwLJ/xpH4DFTMf5UdOM0sRzV6qTMtrYbKQyWvwXqcAE
moB+Y7VV6q71i7HOXWWyWgSkKHNAsp2nIYNFxIVUSSTMs4hAbvdtSUWmNM2/PgItSep03GzW61is
9i9W87Q0w2Jd6w+yUC2WsFjyIsxfPs187Wg1izA0OdCkfG/Mfe1oSgzUGHHyZeJM0WMi35oScL+u
njj+QSi0acxPUqoAfQy2A28UsLDugYgPAEcn2A5Ww95HtYGmAUKkNMVPUROw94BClFykvAUnUlog
bgAqb2Mk1zqSrdMgtapnS3n3EDJJvshRhKwvebK/KuaTOtaA/5BHFdnrE/NU7OIBnaNgaXEySpY+
aKZxCa0kmUeDEgDfhRSFkfyTgLXhUI1G+kCiKkxvPV3FNlTp4G2QFLOW25EJNudtPGK3AHzLlF/x
yCaTZCAR6CA8ElFFhFrRcIBjqB3Ijn7NJOzUodAPqqZ/DJCr4YKYZ7iwCCU7JgMwUNRF4yckwKES
dAqcPQ1Hzbr0RRy+VBmqgOx3gRq8jj0YrKmJNbt/bFBhRCOQ+eiSW3XgBgVd8lWY9WC/daNMi455
rjmza1kh3zdzPpXmpJ7UuBte+46DE/Vm+qDzYWRipU2TvbMHu3o1nsBzOby2cmQ9m21+olEe+tY1
A7Ek2JmgdBxOB5Z/tqosvNq9jYwr04x6l1U4x4HpUfDXmpz9lmhqgfJ7wF4L6iIEBS5XZloynIUZ
9VayVbgEG0JbBeg0Puv9nY9is13FudGpARDQracDtR/A/uaLHin4sVyZyDbLbkJyUboBf7AldjE4
Rxk19ltPDK0BmAq5CQBlkkl8q0nim07UW/kK46mIgw0S+l6GOkg34ZRNX21b2vUSw88KU6V9poRA
0R7K8ZOSAbcqVaavCnDgN4kdjufy1XwoHSN+B5poHCTZ4K3ANgdQVZJKAxVAGEaneTxqQFC1D7pv
Tgec8zdn5FXV56G36rm3kpGCcW2CQjVQof7uUoEMaa/J48tKTkFXsjAeQfu6mO73UKQIFds/Zc4G
5S6fs6kKdjmnrgZn7JS51E07bczcvsmUE/FUU+PgMSpzxVioe/Ik/uu5S0Y0XodL1eZjEFTJzseZ
KJi5wZtNvQRnGOaWuplZKiDB5nphNIA86ySdhYB6wJcG+r2IAuRAJCWTampQ1xRJ8T5k5nRq1GE6
GZwwnoHaWPUsqeqQ08ulQkWWjtBUXD2P1/ZlA3Kj7Sp0aGJnqEitn5JfgTvMAofhVVPLvVrGcbO1
huozGKK701BX41OXScNTo2fGNsJmyGbiMlK8eZEFNSR34O6HQ3eysfWO4K3yPW+YvkVJor5h4Ef6
0HWNCfx3DBvZXg4rPoyj9KZlesietXEc3Uk1LzWe8U5O5wzIdc1H3LFBLN6EcnMCAdFVRkKlCvg1
KFpH1g4l6EoHXteTALsud6nLWudXt53M0d7+RapqFbLPeABqHOaEuoc0lvGI7waFt2+RxjhVZNy2
YY5t/V/xFwaL7mxAtnNAit2EOvI0qbswAHD9x2aq8t0sA6mABMoXC9czr2yUmWmAl+dNWjP5POLO
rUSx/gSgM32WG/rodRK2N0lOpgqH66wSMz90li75wK7XEpAs/gpHhtj7kM9Mk54ABLP3w2YbZfGA
J/7KzXHgCtblDhv4i242mOa5VYOmdqlLDc6jkh1rLaTCcvXaZmG+iNc7LPJUZ2g3d51K1L+7lW11
m8Bo+3NETYIXK3eaktsYfDrTpu/weI/dF2jIaFbTGKVKXHpXlzgj35uW9hT+ZsknEdOJie7a6CrD
wYHKnv6fM06+CgYlpdAOkm3uezvBKZJflgD1zIb3+GnGZh94EQsUxELTD1qBWrnZqErKndZOsxHJ
MhCEJK+pXeFLNa1DYivmGVUBuOpvvZUMuGjA1TCY5gkFeSAX9+ar9lJZo2IXsUQYshnM6R/8kdW7
v8+xiizCDyMQrRNmHklEzb1phD/NT8PCNpDJPsgb4bpesRgLG/Idm67YJYn+U8woLMQUQka9Sk/w
1y6ul3BeXZXVR/ArJz8oRda6XlsVwAAIWfE5sVT/Y1Yk4cayuuYJiLDmPool5FvoSnINcbi/BZiR
9IJ6ERwp6Gn1jSk4zCT/KQv30ShDxJVjOkmePjjBTs2zPHU1ppenf3UL08hOEgji7OCDkaHqih9k
+0qaPoVdjTw6jMo8lsA4Vhuz0owVoLQ4krKZbQswZMmWWuxpWPdD5zWo5zuVZuaF4+BsLLMrXAnP
C1tTGnBaKIdjdbb8ogLpIXoacgVTsLaEjlvxVyJjwL4BMgV1j8l5s6vKwnoiWQiQAfCRxpWncROS
AW8VhYuhiQw2iMqo7Z+QJJt2WVe5BAxKePLzmLokdHhJZTPaTzK4Q/a2pcOaZKQ1qF5y9haq2QqA
7dFBrftL0xS95Akn6hEqKfWEYrGAVtVNV7L1aUPClY1YGfVUMFkldt4eCR3e8Yf20ueoasRvsACn
pyE1XYYsYkPLf9ZS9b2o1PGLHxi9VzlFeM2Rrfl8Rx5Ejv9cVMV3IrhZ2XM5xTF65xbH4r1UZvku
LlCGRBUkqSJ9wTMBeylk2T5Kfu9sizGSvxjae9LHeKPYGHEsn0EslT5XTof6JV56IsfOF9tSlo4R
ACUeCmQercprFJW5ylCNJ6q9oYbKbsjMLFHIg5uQGm78qqs3lHerTUaxB+n3j7m0gmQcOfhWg/Gm
pjTbRXEGkv53eAfJj6nTDsBEwwsENTEfKlGQVi6Nwbk0nGUg5MomwGiFSHjck1HQqVdN36NuBcpZ
byjrHIBumIlkNBMNcyVE9VOVvFc6FAz5TZedND9lr5UcAfl00vJrg7/O1zQHr16QqU+kbJF+kFXa
+B4F1+l7K4m9WK+7V5QAV08gqH4ml5ixboNqoM5tbbnfToWlfohkJ3Ar1D/9UxXnAIDWP+QiZm6m
G85L56TtTpJ1vBixwryQE/iS1Q+lbt6ccHlWTj13MhkSvYyiOKX1kB7lxPKfjErmbxmFZYJXSSnO
bSnX+4qxbAcE2OhTXoPMpy+H6sHp0+C1rkc3l4fok2325VkO88GjITAkrnWfvsdhuwKavMrl2Wlf
WqNi/0fYlzVJqiNd/pW2fh5sACEQY/PNQ0Dse+5ZL1htLXYEQmy/fg6KuhXZ2bfvfZFJLheRCwGS
+/Fzli7hbOfmfXmVhegR6IUHn7xz1/TR8+Q2ZF1OBs7zWVw/S48/uoRY31TDm0UKsecwqcwy0Jyw
mgm2Nq12IyPFF9qGcyaeaIOFsidfonZEkt4P4ygvIBVWJivt43fgGYQwthMgfGGehAUkJGSJd/hp
rFNe9iaCtG5unVqXjOChnZrlB+Mwz7g1cNF2t6QuqA5Q9iYeiOpQ3GMUP0wWF3kAtg4aGtAyXd7G
yMldck7io3ZGMbLatG4X+EZWnUxVozqC1AR/VkR67cQBFKMB1IQwU7yOsb1za1c+tH1FHgseLeVQ
iteedOoArTG6IHkUB+bogCgEictDOje6pxuEcrztaOU4ZhngXzBBE44gjXyw6zy/Kv6uB7rxzdIH
s06GUq6haR+07b5I2zjYa4LCBQEZIRz7nLFyDSj72pAPF+NegrDuQ/PJdltRzt/Lu6P2+X0VUQAF
bsamAdLcCKKIc6N7uuloy8Aa3/ZBQSvrWFimeWxUNEGID/KEmXCXNuIcywmYqKfSIf0WRCdNoIeG
akyEhO0vShr0iRA6PHhRFsh5pE0Rbst+6KbrqFxngR1dhvf0rOTT1zJfC4OkN02fm0CP1urRqjyI
Vf2aji2EvHa3cUfOAm/fFDRuqCMEZexIbQ+R0CIu90ZZl/tyVvzTw082wcA8vehnx/8+XcfxNhd9
tbm76AvqS/+pTX/8f5+eP47x4cs09O0WXO8gLC68PmR5YZ3wyC+vuuElJLunPDkidsh4UKfqyfHx
37wtQAkAR5WWm+2svPu1QrV5vzBJ6m3K1scSYMTSoG4nc60vSGbHntoUlET9sLp/EniSp7ATfFje
1tGy6pd+lpnh/do9iftVFztuUBuGs4jibDinfmwuAKIsz4oW5FxbDGX49tR9GUuF6oWIWXhmNeJi
MwQs8iayA8hYlmBeAlOED6ySwc304HGrMBcWBSe+n8gnECONT2PuPaOIWX5TCTaDXUGbK5j50709
eMh6GBa0SfqwY0p+g+omigKTggFP1oHjgIFZUa9kVX5RxDWfKR9AvMTTfk0Q3AJQ0d9pB7dJEtwo
otmpxtqOc/WbIKKFkHhyvIFcZhNikjgfo9xehkniyFD7ccKao1E29X7saLp0BRtfPVBG4suR/bTB
Ju44lXwvEQnBj1aKU1/7KLGo6mGV8mF66lrAFbVv3Vko+sTTNq+hqgeiX+cyxJm/icsm3xhceNca
entQ4ZHZj55tEV2uzyCSmqBUDNFDaxwCNgJgFvRG0x0sLi54oI5JAA8GMivEcn6NJ39CjtuuAhPh
mKs/ECgWFZG1pIawwtslclSNh/0wQCx2nvbmBpXD7gKbhhe8ZVVITYtedCMbqZYVVajE/G0DSRTo
iDLj593UAcl4qZEhgdj5hbf1r9U5BBwYXlV7bdfuZmY4Qd6JenUbzgsclZbBkBRvUQO5A11e3hse
uJOiox7oqvO54CWwBrvcaHK3XhHITNbFT9PrHn7po9IKJandrFLn0B5SdV4OWkDdhSQk23Vajk53
oTDW4mk/a9WlLYqdxzLF/62ov/RzgY5uEH6yIZDo4bg825Bn/TXRNQwxAjWBbOa3c1VE5tmoW3Dm
p+kehKso6YG2jnlmYeMy79CVRcj6ydrTISPIXc/dD+MqGaHxWAqQlcams7Ec9m/Td3eUNdC1U7hO
/U04Zhn6UFU7V4V4AvnxgDh07iKRjOD4Pm7dfQ7VtMBSFFqt7tSf+Ng8INBubvVIllF/0r3aGetD
J5Lwbs8i31qOfmmvPNYgOw8M64uI/QT08XF7BcZErJTliGNW8HQ7xQ3duu7QHca48VapY6tLgrxs
2Bs2fyYiQayhZ998UXYP1Rg926Vs0RnZMRPIoHZV4r6TDhQkXjz4x64amofKKV9k07vvrQly+byQ
+A/FY//a4lra3+6Sbh17Q7TSwzGzw7xF1N0UhOwannRhA4Xiw8jIT8nxTYcEB97Tuntvcntod+AB
/GNGjz9N6+HN59O0nvlw3Z439q+PyHJ2TrsXxzfoxotccaZzo3suzdUCSRek0H/berCanaG4zgO7
80bIzfzhrFegotgKUII2LfGD1mftrCfsEnlFy0WKRa8oe6iUt87w4nZQ/S2aoo1XN2Fgf0pdN9A6
vwa04EIoloBmZvZymCiag+4C9fSHhvCtSwCTg7TG7AZ5E5RXSZSsogyMQpXVvtKsbzaNYlKcRJp3
a0rrL3oy8Qr3oHujmSAJHeX9t7huxJqV9JTlkCaGphdkpSduYgcw2OBUL+0DKxRVtzGwUxCjy+QT
OAuw6R3q19zG4xTX5WCWyt51Deswig1KFgAbnitf70WvelI3rl9vCCvk7m7SPe2rV3W4BvJ3ze7T
8o+XrD5c4273/H5rg4hiUXQq3zIAUsecARzbj+C0wR72oKCyt7U7+SXmvhm2jrJfJyWfgWKPfrIp
AzqbDt9ECnmfiPmPTu+5YRQZau+nApp6OONEwecu8sfdbV7awlwObpcv9BqSRnDXXRBoV1uaVMOy
Vx0qR0ltuqvcK1E5WxQ4fROXnKIkiS8jfhoQ3VbjFx7XmOix9/cppIFo2jtn3UARFMhY3kBsAMhW
7zbj2NOZQt9pf7M5fqoC1HDkgDWk6SIdRVEF3cwTEjfTTJcLCZB8lhTsZ4VB3bs32kYjOSLX8ic+
IpNiiRA1qHywcwf3BuojdaOHQ0HkXhltcLdDqSUeFvdxWpAcUuuAzGhbUmF3cLuWHAozbKQ3Lbsa
u4aK/Gzmbb9jRdFRmqBiNVxZveK/g0LIKiqX2BK3IXTAzNUNLh6Dg9MVDYowZ7y5xoZPLVQuDbN7
06a73f/te8eR40/+wdf2nqHoMB1yrUwpVQqd3LxflR5IDUNKB3vbm+2+FPi1F7nJ3EUz4uhNnSnj
V24Pjwm3Hy1jxizqOvgbywZ+/u08oYvmb/XzesKIoP3b5M6jHulZHOLl0u2aKKiaVp7SgYIUQTZX
CTnGa2ZBk3E2TVYqr9r+29SkYxV4rRh3JSHRIS2huFILdTKJ4DRsBtlusO3/rm1qntA93YyDE4Wx
MCgyxLOzOxnDJhf5+vYNdRUKY7IWIPW50r1gwCpbavyq5av9tGtX0HTBHQ+QfYyvyR/jLo2btd8g
zIGKQcSAUZIzIkc6R4a7OTLc1NDuyMsoom8WL9wAWZZyCx4jHP+F6QYgbCy3dS/IbQhmuI9DPXt3
1mudsll30t2YDSOPNaJM6dSPXwpsVkIjk9NeeLa8Tt1wTYlh4MQ1Nxx1MAuEIOKF7eTkqH8lnMPz
hbIad6v1t0Wn3mrA2dZWUZcX3UCPYtWWVXLsYlEfiX79l05Ct0ZataiTSGWOYgy3RolaUpaHoSjJ
kg98wXGaeBEEeIA8HpKA21aKvJR/0cwfkUVnvVR8h9dFGkUHW9j5sUqDyR6920BZ09SGXivzIyNs
Wg2o51yYs5v2/TBdEyTsPVRvrLT3lPPi5qOHncfsfoHzib70bVRBMeD4ooWvdOMjsOpf0rasw6Hy
o4WqAVMfa5diV0KuIvHLNY57IPHxSIsEbB83wAinqFTAr01LA2SNHcCx2MWdUY6QLNtolGHm5ZZ3
M9I6e+gqH8wWvDe9BfgcUTWPagKw01TFMmWo8NJLvNofz+APVpPHL7qZhLOnirM9SHHiSzs3NMrU
1vSyn3eTdi0Sgmdp2QHQPAwx9kBFvKndGmTVNmBp04CDaZyXIctwvN5pW+83b04OgEVhVs2xkdj/
Qht+39uTce2bxIAAiZ0sM/1cdeShJip/sByePNKYRbfJxDHjR92U6aFVbv6gB58c9KI/rqAdGhuJ
egSyh7cR9ISkm2v6fWjFIHepToihW3ujcKCvS3g2Y1X23YibrO69A5PkOYtQyeIRZ1LQfUWaXhd5
6CZt/Iey6dQafEQVQN7ZhFhGi1/dCAbgVZcG62ZQdA5EhYDitViZc3jjZpiirApw9OIoTbDaLYOE
33KM3eIdysU/QYwyXuKuRU6vzX7ERlm+O76TLSvsW0C2dRxpxvfm3JQdcDB42bX/1jVjPzAKD4G4
2aflkvNVU0GceAEWd5RNzFa7UfMd/ql7n7+t0lcGEZK1lra1/zz74ZraEcGdjWLRvoSYEmiE8RZr
IBXSu+A7WuaFDwK6nPCwiFR01i665yXVY+c61q5mEfUWpWTDPsV3Sk+COQ+7/CQb+rB1QY2vjbqJ
qhxMzKUfyLRzf1g2O6SWQXVHW3rDRQWPN3y9sfN4bvTSGIZ1NVvTusYtCLlcGbc7lHEBXOf2xRy5
kEcxu2g/NzsO0N67ZENjX1XCjFNlOEDWYbWeh/w76h0N8VySxEmgQNZFmxwh20XiWSBg1izMc+PV
Uhzo3CCYmLUfpos46Klp7LWHYzXQG7ovu42hnk63GehdJMA0r5EzDGvkkXCYm4dxJe1FTCOc6/Pe
e61kAHkd+epECT1OTKqFsusDDiIJsPbKf/WAWEWgghYHZE39V5J8tbFvfpkcp0VtqsS9gP31wp8Y
D2POhqVhReJNMXsn8aj+DuLYZMFB4oEUg9iYXoN449yI3K7AIR1XJ2RjWqf4bC3AfXn6ob20P+PZ
dwXc0erD/Xe/rfRddB/qnkiUDfR2oG9VbdFet1u7KF6mSfI98PdbECtXh3TCeQTs1uxc+Ua0qxvz
QgygYpdG77shFMQmgHhd72zYw5KY/oOggFu6pC6/IHwOtg7BmrMzMn7JsNVciIEVyK/IKmicUh5b
/IIPntG8a/uEfUlocRO3a2P0TzZ2xdreuFa+9Gvb23o1M15a1Yf6A+II7y+nm6o1Ma76x+cRu44S
BZi1RAlE7WbJ8sMXWv+ukesaIBsbv+kF9y/+p7+G9v3wddTT9yW3q+rxh7/7h65erzpsuSg3q/B+
9bRK8h0HnM6Swn5yxypZTY3l75XZq4NLfHtp51O5NFrib6pK4PwkLBN35eA9oW69PNuKnZ08954K
1mdP47DOQLG54NLPVr1QVv81Vy+pxcF2bdrsmcekDHjf+88DpLiCdEz9m+0+e+9pP73ibrv34nnt
VAxvoGzZthkxwOkljeOtCMyz8PksQ4xWG+8lY7rXKbDp8vHBrYyvnogdEKYCoKZRarqB4ClC+Sgi
dnSAw5sDHLeuW2Lb3Zdip23mHNpw46xe2Kz3Vvd6a6TX0lVD6zy412/rnoPT7dGzX22W8iW3KPK6
ujSbTmloO3hFWA4eM3hCWo+gpPoB4hPvmy+rr3Yr06esbqxNH3ViLUynfYmh0aUd8DWFim/sRIsE
xFxQBJ5fGfd7g7jVhjoRaFQ+vQtujvqWw3cDL4s/u/viKUY6wFdeCD1TKPXdFJy0aJ/udjFufzX0
DtTPoAulbVoh6qbopMogQtZvZk6rQUxOy6DypXw08Kx9JBlmO9kl23po6KNqUnPbsC4Chx2G2vaH
fzRk+aqXmb+OjSXe6u17jvP2hhhltio7lX1BrfZq9Hn5UiDGs6vTgYTajt3Qg2hU9VhB8PhQjUjA
9YJnX/AAAQEkhBIulhfH51LOwcl5InYHA8EbYRyF6qyrTa1vjmG2yNUbdujEOPqVCYTOTcMUq3/+
43//v//7ffg//Gd1qfKRV+U/IFN6qZKylf/zTzAG/PMf4mbf/viff1LbMm3q+BbYkDzKfGRtMP/9
60NS8tn9fynEMng0JeRENBa2ihvkWDxlPZUoxN9FIIJHHhFDn3IUlXPjpEeO9Kwno10neW08agsK
itbQyOKXvHC7R2YDWJj1akS9muoeKVf+IRXea2q6CN6yWr27wO5sb59pDNAu7cvsErm2fSlUZr14
wwGxJetZtJ16cHi5iQUxX8C35x+pw9KFHvbtmOwEmO8CA5wkL6jIgiRWj6B25KGakhnZMkL0emtD
HwvUBUiqLHNBu3DqYz+0DNc5u0kqAhqZOUBpBCWEyWBugc6cXjofod24mL7YNZ5DtoCeXoyX+qGa
ydl1r5h7vIsbJLZw0NK2+8TdD0XS04okElJxGWFX0rcvcjLFe8GHcUl4TjfTkNTvVv09h17eY28V
IbYcPZJYAILsb90G0f29HjfO8F51bndj5ixrlHf70scOIy+KlYwFaodrZV9dgOJCp+0LhHia/Ixt
cdhVLLo6Ux9dQbVqbilSaQgE/mGzRd8tgYI2whSY4GuXStCOFAULLIB+cFc3arxCXDpd/PXd57mf
bz6beCgOdEzKXAdfBvbvN19ZGHQq0iI6yd5yEdyEZGTg+3a8MTuzXg0psd4hdr9tcch86mJfHPCH
HIOBe+a7wOMPe4cJMnNlr64OWCtqqHDqpB1qD3Fo1em8W2YPQYnA7PvxAPBFeiaGm54hXwGlGIUs
XGtQnJfpbERNOW7KrHu6++melY7slH/TPp6iNmhIASk2ypFcjFmn1i34SY+SzicXJJOR0TGpi2dm
Cwyc35rdKilrM2gH8ZD7qedsnMk9OJljQbMtz3gI3lSAgrPmUdvuTVpWb1MX42GaWO4SEATstgqR
m2smoNKqxy2ieyTMXlWsAIyZg1wstyGDmApprUVrnz7YdEzMpyL6m8cI6NU+/yeJ6yEbZoKowSGW
73x6jCQ2Duw4GmanjqAanfteskQgDxUmUQLy6ME2Dron4pTiuz7weC1xglhYgrIO9/rcFkyC6dk0
rHqLsMX+5nqbYrN2JBCB8aGLn/WFEE1ym7AmORbqyyOpFoCdJcYXZb4Yg+7hBnybV71UL9GNUxm7
vjSdgDO8XgT2vTvkTWiJglV0742Td7+GvPrOzMbf/qnv3Q38Bf5t/d32eQnO5F3AEIAOOB+SfTI3
XQOUSUB4lewRhBfAOo2ViFfaEEucXSoQl4UlnoExiJOAq1mMVlYhMq2db/bOoAkYEnGJ29UmGoP2
mhQgpITtw8ewIlErlxgvIK5wdpw2Djh2WpBH6/FnY6QgEEJuc9684O5AOwOr9AW08W+mteN/X6Mv
cftB7pdkyv/1I36ezqv+FfokkI4YF/lI+HvP0yqs+3ragTnSevMQNJ3NUUrzXRQV2Cq3efye24iw
cWk4p6Q1kse0b1EfjRcRGwzojg7ZiSOmjAJm+9nOytsI2WZyH9nziDCW3jxp+2FOr9NXQTD/G5nn
fnvqdTFCFccRQYEm+6FfccCP27sOAI5Av8zSpId20DB1S/0yc03uAqNRoUx9fvO5SrCFRBhgr4ej
Fz25jjQDOQGr2GmkbV90p0rYHJLbgOzqpvZTO5DJHODTMF4vss58ektMZoYDsZu11hOGNA/YpF0v
D7XYMDXd7uBF0S854lxW8YOdo/Z+1h52hFGHJtSyl24ErUrRmMP33iFBUXDnX4w0J78h7J22I15M
xDTPGXvhzURPSO3KHTH6k7L7Aho8s42ixPzEhxzBbhRsbGLby8lCG0mLRyyK2L/fXH47C89HCmSo
nvB4Mbe3BdrmpbJY26iduF05qn9ffl4bCbJpilwioIj192v6wDovZeNUuJUw8eEHqLF3LAHxOd6d
9TUdbL7DrJYoZYgqkESoA8koWZsm1IyrWR/dt1ixF04LRMV9rKf1zCeb5Q9AVHya5kMGhGQH8uz5
qvdlt6vex/dpbfPmT9a9PxtqW9/tpwZIvjkkaclAZWzad/447X18R+rFfXzrNbm51z3dyNmbm9DT
i6Lvn8z34d1V91gPmNtCL737OI3IAsMHSFd/+M2nmz9Nj++O2iYRqAtZo6xFhjvxoJtkcuz9ZAam
6lpQv812wxl+Tfpzr6ygyBHmcflWtmDEcpx4SbUig9Za0F1wz7cQjZutn6fAGoIpe1ZvgMYlusjh
gapisFZlKQcK9NZon8oc9URKnvEcgcKI0QyB05bOKY8YOaHuNF70TVps9PA+IeNebFUdvdxNqGb6
tcqKjJ9pX4t11hDzADz8L6yUHsq27gNHDFDkkswCXUSOAMbcOKOXjxttvHW1tRsiUixSZ8pX4BV4
vQ21E1SB8ao0sFHeWY8uSiH7r5GfkVVK0+7c1sjMxWWCzNUc2L8PddWEHo6ojgmaOc5/n9UVF3po
uwUY+TqrW7stHmhJjWoizr0vnZODzxI6Vece5Onb0Yz8tVP77IpApLHwSdV9R700NKxS9dNLk3Th
ojZtw2yWgGWrz8F3YLxhC6xeqCz8va0anPdbQ73EvRFvVY5ts56ta8dE/eeQrPTsmCZW6LNGbvRs
zAVi6MIAwKBAiMBX79DMNndAhFTLiONILTn2UGpuJj/DbkpGcbLVRmBOAD7WXT11d9I2khXV0qtK
MMEbyod8Mc/+ZovF/mOH5WCP7GKz7Lqex1z70155YG7nWwLETW4K8mcbJAr1THZvu1110D3d+DV0
mY25udu0i4EKMRT8gXBAT+BUGAXK7ZJwLJlxvDN70NzMsUXA2ZrZNbK0PL/cJ7Uvtq/J0TGvY9KT
fYbLgFoHbOiUAJ+sSjNZ+RSaYp1hHUy7BweYrKH/9tumR0gltmffjh7rWL1YfMAGtstja9MV1nun
M695Qf81Gf6ArKgt8jbkXpUHcgQ2pyiR/Qk8C0lTPfZqRyEN7P6eTzvQiCM2s4pLwQlykdC2bnvQ
UVWoEPLCSqlh73C6riCdx9alfBgAMxUV7R9NwI332FmDomTGQGPD+OgjfXGRBi42R6niTlowZWQx
ALDzLWEtEomV868uyvcdEzYy+OXf/N8t4n3eWuONS4nJCDYMjuc5n/7x1gRSOwY47bEevpQZqHtv
Z1urIUVYoS4J9G/z2ZaDcLMd22Snj7YoiDSDzAPp5x3ljdL5UE3Y1/4ZBDxXTrlLXOtcRl/d1h3f
PZwf12k9+WsXiMC33keCc5IlYmtJCiHgAhVkTh495lH0qO08I21QN62NJF2WXqDViJTVvMBv8TPb
TR5UxeQfcKo3Xgj/ajjF8ByxbLhOXB2tqOOvtDGcfY8tBhiBEv4ao2I0rPzEyY5d4ciAF4iMv6WR
QpwToABjYMtR8j4Oai5PCH88KitrdzU+c+dBVfDW07b/OtQTDSvAXtFmS+HQ4J66Ra1XfB59PLXm
RK7O5roM9Pn4gQI9EiUd17YRl8s8tf+V90l5bgyfPSOfvSghVP9q0Lo9RL4NbSDL2NFmzI9Tjnw5
3jpTayMGWVrPrwaiJ/XC4d0YsnJCQMh2ih9u9sWlPPrpePmPuFHlS2nYDWIWnDqbFHUz6ZfegVTE
iDOgfjATAZ5YlqblQT+JRwRhwZDWFwdkT80vGX6JT2l1yk5QxBDQAgD/sgR0LdSFnL7VHTIPOWM9
ihrLPkVmvDZpDIYQT9J0U2TXv44BuP8RgKKW4yA6Dpkj1/Icy/73GICvGtFA/UYcKzk+D7nVbx07
LZ+U6w/rrpnqMK5J8VSLXJ7U5F/7bMyfqgCIQmONVFj6VsoiHJu8/DpCHXc5JJW1w4nHfeTT8AQc
Gex0wM2TUOeIbwy/eID4LFJmF18H0ebIqg71VSg1HWyaFCgknqFVrxIsi9C1GF9TpuJ04We/OrDk
2vLRx0ny0Cvkcsj78c1uW2OFinK60vXTwsC7HnnoK6KP/TWx2JP2Shvzs1fpRsXdq5uvlf/2MiLC
nv76D49A36cHyxz7Y8QkQMK6LlJe8xvnQ+gvrseUlkijg8Qja/C+LqcjitvGI0TXxiOeH8+Qhhk2
ePIARh9DS31c0A6RdJdPe5181Y1EMcewoHX83QT4fX0b6hmzQAW7VTPgAkfaNCEe7n21BuLFX9Cc
mssbXjmjHR70VowkvEkfp5JcgMAuT3GGkVP1E8Anii6H9AHVkG9OU7mnZt6su3NPDxHVhlRdbR60
/daw0T0VOFeDHZ4l4acFEDaJT3158699sJ60HiDWSYLcGfKzOJ7FS6XWiajXrtECaYIMLN1xhgLm
eWhZiP3jOfsK6EYfQkJCrVEJ3D0xk08bX0YkaDNXPcVsLE/I/D/pycnI/Ici+Vry61CmzjewLDsB
Eu/sVIA0cg9NQfyOjjm8lqkA26uR/Ig76wvYT5ujjDNrAWyLgb++l3+P8xppp1K9mzwZZ8ruZB/5
qrq0BiJN8UCL7wxEGZ88Rs6a4K9vH9f/z7vHx2bEx6bE96njfor4FA1rhAIM9wgoQHlKExxGodr7
peNtuWycAocFoJLO4LcrEN0Yi+9/6dGV1aEbxi2oWlD539ZQC+4kP+nhbIeSknHVowfqTf1LxRh/
ULm6LWC1FZ9chj13BPWTF9t1xp3EaRM1GUNQZBAnHCLp7LSAsSq6ZguOFGw6M4TJAtfIAIan3kVj
ZJMhy5bYoyMeVAj3za42rRTRz7SgMfiSzPF56s1xKRpqH4BL5u2I74czyUeQbsWLlKfFd26yB09Y
9BlyPzXIKhHhdc0+PnmetJe14WT7OObAZ6KG3e6mgvyLIEPyN3FVi3x+qNoWw6OUeJZHsHnwyKeH
ap1DTlXVnjrQfHLx0q+LvYXnbwVcBrrTfLK8NVmSb6Le3N5N1STghyxut7pFZZmAYLv+yUfugjRF
d/uxIUs8CfgCtXf5Xtvuzd0GWEm2r8uOBqlwyuWUdGYYM5+tBmugj35tgpZHsZ888uljTItwmGiG
FB3BARwI5GhPEWpMgGiOEbdCin8TMdUtqsQsNkY3eeAfjbJ473TVQzEK0JHGKPK5QBe6Q5mYVwAL
jKFutF/TFg8QHCgvTuP6xxIv8hahsvgVD7x24zOHL8SczjNomi8bJJQDuyJA0WijmrN9LZLigGJD
q0ZPaBtgsyt3cGpsHPt8kc4cGtg+m0sHt9Gmnx/jQ4vCgxHpNSRqyrN203bfrM2lsIkA2zVWzW4I
5opTUsmzW8SIRCsxhFqVaFIWeBIdUh6pPSQv0NHBWRCsDARfTDA3Z0M4Ijoa3oDNqCi1s+MNkd2g
LioQjiexlRFhClzlVTdgEnaBfkKpsqT1L1ufRdMykr4XsiQxri3Nmp1NIKbnAD4UVFXDV2lmo5a/
jc10Z0j5zZ/ocImcbLzw1PxOq7FetxaqpBYTiC5R1yd3uGS0vzfYBph/d7NbtvXpUeTaBN9ppI5M
n9quaX96FEUOtMMKs+uPFgUkyUexhon6cZefMshJICsFaHieqLZfZ0kNuhdxHc2en7QHTmuFFeZg
sx/jSWxuQz3TQCoKQa+WBnE3+6A+5GhZvNn5XXNoULv8hKKd5qmWZOkDfgkMCEaFlB6+Y3250x4+
kl+I1AICqWet3AAyg5qgAprX4zusHl150HOoXbgOojDCPhmaR1QB0ZWbWECoFH7ziCwff+zdRax8
KYKRI3aStmmx1r7MaYCQKM0TYFVY2Q3FugVlM+I5CTsm0GhD2nlJOkveBneznxn9Dqz464qN+XBk
FoQSh8rODlFcZavENqYt4rrsERIeb1x58Te/BJuKwWL3otIIollNNoVeViffoAK1ULIErOH3ShXJ
aZUp1BNoBZghLctdbY2h4eUTee3trtyh3Cp0cY5FDrE4ZANqQ5Lm6JeyOereQMqsC0sFLlEyMLq6
jfUU6kbtRQop2WvkkYoeVVWArEVkIswmY+GMeLznQWMiRIT4DXnOo2ntAO531SNVWmuw930Y6blc
pXgZV8m2TzwQnPFxci+dYUBRGymspQIf2kvidy+WpdwflVTAn5H83a5cnETApHHss4rsp9hzlj1y
xg8jn5IFHs/4YmbKPwM3BSQdxEYuJdWRftg02M40myooUP2zqvCnZguOgy2YzlBeZBVAk6JGZ1H/
Fi4iHDwK7oD6mk9IbD3UzYizIuq2/3DRkGtDDBwC6gj54dCABCotj5lVxWWQR10BegzJVlqRGSUo
5gPd3sSbc5GQFZN5Hd58QQl0EJV8rlmRBnpPk4wlBWsT1CD0cESF7NUe05UJDvo2sBIonyEBvjM8
+jMCpvCURKOBs1prf53mf5LVmPssHbyVm1XyBOwGqh5R9gfhpOxqWNy/eD88SvG9mq26N3peYBaT
e+oyAYIvVIBBqi638ALQUIw8IhFQ7lnzAX9xQ2ZoAMZEFtJg1vHmmzEVes3Qhfq/wJXMQ5OO9bKx
8U/7/4Sd13LcuLaGn4hVzCBvO+duRVu6YdljmzlnPv35CHlPe+tMza6pYRELYEtWkyCw1h8+II9T
aezaQqXgO6Mi1flrdNIZ3dUkLx/ISBm7X+vHqX3I8+ZSkKg/2Xpm4pgxn5ExObkOXHrkCBGtBudX
rGTPUBdht5AjUehAYwag9Eb2iMrUt1o3M2Qrw9ySnaiWcaQjrtOmdrs08HbdjqYS4a7OAfH5A4tJ
dFq7KgY+mGcXHtO97JOh+4fcL5qt9MygLVZ6PnIbzFkaaRYnzxDO8XnL0SFjiMGS9xxN43dQjtFG
VSwHxAG5V0HauiH62BZ6EqjZaL+Bt314dlr/VTXHEI5bPa5j3GWh71fR0ZoP8kweZIfpJrD9/2mM
byBuq2nstLywiG75lFxlcQYIa3gjGXOVBZi/+2QBRvaljJQFmL/75HV/t/77uiGteBmavCkGzT6r
TlMsTOEXXyB0etvIV8r10E/5F/6cYtk6WYJJLL2ZoYDgas0bcLvupbDSj4vcuvr9GUHWFl+GtPn9
GfKiCYnbpW7q8UH2zp8BQ8u8ke3qXkxSJjIsP8OIhmIBnHBalIljgchr873OlvmQ61NwjMUw7gKh
+WcD1cJt5QbJdTRGDWu7xOJZQVSr9ssj9xIZzADi2FG2UVYqj4Fwv012lm/wF6BXxhBji4/KN0+W
kueDPFNmekVXmNvJM/Ude4w/43KE2af6plQgO3ssE64tL5JI93sqVpZ2deYQr4n6IpJf94g8S0Vb
7aMw/0te51o5icSIcpQyGt5W0+xTkhn9uc+C4SzPME/8fZZjy7U3a+djRDiMALLlkLjBNNTBf+vc
lkbw5FXFPsEl/SpbWqu620Yxp+XQBP246ML6Kn0Op6F7SbRC33/yP6wMRLPdWA3WnzrGSMQ7O4Ov
4bCbPsaudpTr2hjxq62vej1kb5a5I0Tnm0coxiv5SYYy/uCLpoOC9xGDLLEdU7j9aERkKNcZAVhc
313ImzWem+PclHey7L03WYAGR03HgEDey7JXNuVg2Vvp37BkQNrOy8jERs3B1VXvohaY+S1ChWSa
6VblSgbtuPQuo1P4K+Qyo2XmhwbSEWr+8aNlc2qQ95K/WKpXv3vlj5bNYe6VP/qfrgX3kH/8nvdr
74Pv1/a6a2/Bx/BG7Nv86Jw0yADHTMudaO/MCPZIItitrBnBysx9H9HRyI9gdOdA7gseGzV0a9DZ
Xr+DGmk9hXH0zStGjKQsgwSDqPpNZFfeyi8Ah2XZUF9jpYL9SKcMuVryzdfxT3Z129qINkheHN8M
lobeVIcSU5cXNWzylSHqdPfRRA50bYR2ifsBvZ4r+q0WWQaKLHbyYqFVuE8UhGrlR1lq5x4TZ34p
zL1+0/UXuAiv8lIzE+FRaxAoVVEfZbsaAGiqXDYIcQydW9PDFRhxm4fMbJYWS9ir4pk7kenRj7Sg
glJqwnkS2qhvA9sUOyMJwkcwMhPqTgwx43YZbZC/tA/ebD0ua2DdxO4IazbabBeR4v0cNWTU+Lto
5ueevxMuVFF3FIAhEYkD68umZW7aZi7ODnTYaaYDZKh/7WQoDF3BXGUjLSvb8jLgRqwG5ytaXdlh
6of8X+fHLpp3g7Gz4gwdPz+IHrqyDB9622+OyjSBHbVKfzk2wLa1CE2ZufM+zBcnw2AHeA+PBSiG
sPJOH6F5OHKnv6a2CA+RNQIDApK7n4yOmcbGjmR+Xns/K9Z+EcSbyjeHa12JBxHaAil9JXqeOrhM
puveGg3jur5M/1JtvViaLZBfK5jwmK28H1llozVpg/Qbw+4hr1yefWVoBDOlXz2UqRu/i2zESMJH
CsXB932tDsFKn8SxdUEusfej4mG3M1PFAr75ud17bvWQBdq3KBiLVWj79YOfBz3L/mpvTyPVkTzX
+rOIyn0eFlgAQbu+jiZ1N2Mqhw9EAXpNr86kaleJL2hMsdDUrH0G6jw9OZEO2QgUAippWA4Z8fce
k/onO8O8GrmKelm5nbPRwtjnLs0mdIuFFSyjGQpV6rl5g6/YQrrJtoi/VOsws8E/aSMYFWmNUGlo
aZEu7z5MESSd/M4pr9EEthoT5AQyYw2KFJvBi4a1qvMsTVn7NYxBTzVKk91qq493DtQe8scVCT5D
CddFOP5w82Q6pHHtXYay2Vsmltb4oyoXGZIHMiiUwYJslgDUvUthheXGjBJrjQZn+xCBZbCUxnqS
h3HqqoUXZsExR/zoCRFRe6tV8Gfg/FtP+nwB8K9loXTjdoDne4rPdhibX0odlYfJRs95jArjS1dp
I8XkxtrIpp071aLKE+9cYCv6xblFk079gJXiakS0C0sPDUmnyu++twaiJC7I8tYxzHXZJRUwdgDk
iZsg/TePcLv2DWfI8JlvYtwlo2Mvi9yox4U6p3XFnOWlIjOdIYm1Czv3u01jOqj/taZ9Gs0XwSN1
S0WsPPCQW4BJnGuVWt4DcEywg5Zhbysfa70oqam12HW77PGtW4Gh1Nbs7dHi6/hXHyLV+NIG6nAb
vHWJofhDH75WueXdSl4/j34YsF0z23fZaq0qf2jtXaTgMrBBOS3e2zUi0Zbpp8syt41H/tTGIxbG
JzFc9XhqN+xs8S3utPbiiCK1VplBJs83VQiJBouelewaNe9GucXcy5bNAu0iz1qv0fDtPcmIHlW/
w7IPXcthp+N6QJEVh+LJ9G/g2nQESqzmaCdd/5JPPE9jnU1gY/PhpWemWpbqYO9l71RluEeDud9T
Wupf9Fqdt6RltbPmppJGCK/EqNXK3ki3CoQQVZ8KG5+MJ4EAqm/VG9k7IgzBbZjZa9lbjazP9CgN
Gay3R8ekGpcEyRnhkEhRjfjcdIm+Fk0iViXz605WoDrffdInlPZasjpPymDA36u2bUHaaNeFWn2U
1SM/HYHzZM2jrPl7ybh25tbffVni1I+y4i949KZXd9TUH6mRPZMt9179FCSri1XhyR0rZ9GNUY4H
OgJyi6YaxFkH2YiPl4X4FC0vzcS5sQOF3JZe69e0OXZKGiNGFDhr3/GaJ6CbICYnLfwWCXEc6gCU
YEXBNTNz68dQOsAuDX18haTbruzW16+jF8S70HGjwz99Uhck6rpRkPcckzK5BNggXKjOoElYx2KR
oHFzuXfIs7AZ3a1PUTdsdFgHsTyGTabss8I+yyEq9W6de97KT2pfLj+GyI++f6Ay7rOSan3klTrZ
KNziVJg40xb+P0i/+Xf56DHQE1mbvvHTiaMQoSrAwLhF6auwcIND6pfm15LK3xwuerPeo1ccr8O+
L99s4X8nixI9BHHg3xywFR9XC0xTV2FipIcMkPHXRtvKq1F6wkE09k91rKmPdYg0JXbJHvu+Rk2Z
wf2DSyEd4fFftRp7Gy7tSJ+W02NrFy1kSzX+kWgtQiKh/o5ub7uCl4SJFCoqp1prLkmKFJAzb3SN
HyIGaasF4GgXzHjWCQHTEHt0vHbWQRrvAqdb2UBYAtsFyNo3yCvovnWwZyt71Hjzi5+6cK+bRgBC
HvIJl1bVqKOlpPpEMx2oRVABmtAH8lWSgV5lYJyjTIQ492jhsJG4hSFAZNTu/MNnCxOJZci95iog
m+wduwYUJ68wfeo6UeAoiFOzpbbb4D/WJwj3fHzWHRGBuipANFyoUIfOtvVAmQan3ewmD97Emd73
BzkikRnqoe8y3J55+Wpe8D2WdFq1sxzoT4F+VYHlcRguCuuN40dIxuEXXUL0JuaHRoan+cwte32v
C/dNxnuR9psCQe2VNsOcx8LepKi8n0LF8ZWVSpUeKhI1OoRy4msFEwLjgipH/UBVy5U+45/ldeZ8
lljD7t8LRvr/qxjB3EEOSxiWbTqWqX+uNzYJbP8AeY9zZ5AulKR4n5zJXo2Unx8YhmRAXKf3Amv1
0a37WbazBTqRnq+9O71u7btpcq+2lrtXeKjBObGdtWzJOD9WO/Yt2YB5AY+jnnlQfaNdfFA/5pjQ
rYXHm2iutMLitjSbUrLi7+4XkDv7EWfjoh3DHLddu9/BAtZRBYkG9aJnP+4/Dedl9+qXhYXBuCAp
Nv9S6eD9/vXu1//RIcxvqZ+AXFExRa20eHpnZZjASPhWxUG3AfaHzquAS59V+lrGFd9RVpVjqxgH
O8kzeoYPMu5MVBoLLYSiWJMHTeoyXsiOPCfTpdl6edXqVL/0bkDl0DWr3eiUJWlR04qWfl4B2MEW
e+mPubfKc1TIWa6wre6Nplm2reEDLhj8pWNG6rc6TLfWYOdf2iYKdl2eYH7kO+rXij+eHKAosbZK
S3KwlqEgt+zi5OSZYf80wCxaJZNXbrRJ755woTAvRpSceqvyoIFYoB+DUQ2OcMXFMu5jkHpprz3q
zeyOhuGV35rqYzJRqmD52C+CxKGayBeqoaSktXsBdJ+k+fZD2LRApfQo9Uq9fGyO06OPNJaytGYa
OzujhReX/RGzofPdD6crMnUdp1W4lrF6QEvBbUjGGjM0v7dzKgciRswpCKPvMua7rYbMPIfBmbqN
0cEE/dVEgIc8MocL4cTa2TCm4QV7gY/SDTDAfl96FBNkxQZ/EW3hUI8/x+Tx5TAZ1yLR7UEojWQv
i6++v8+9eUoP8n0U2Eh85eDy5EmU70GBwxLtq6tttMETDrzDUmDVi+eBHTylDpDXWIAD6pMkh4Wa
DzjU0SsHVyn66oo78RV0xaOTm/kj+xV3PcW1CV4yLh6j+eAGxU+/q+OjHMH6HUDPUC5lnxzlj42/
7BD4UVJA4mUwGAd5VrPRTvsofxpSW1mAaGFO98rhNupg7PO2GN/r1PuzYxYkWgSmMb7LK3iXjKe+
UQ9aRDJEElbkIVc99qt4Mm7vrJW6dR4pOlSnaCataALRhXDcdEMQbPooRvOgj6a1GJvgpuSOgi8g
ilAZq+INcs8qqgyt2KCy5p07YRfbYRzKM1gSJJJY1S6AKi21yrAfVaXuXjTT2k4+AI4g9buXjL1s
jdjrDUYTJc1gmtBdmDaJO/bst4fxMZ5ZJDIxmKVIKNhhstTmZulVwbLInFU4GtVJHpjDqnTVq9zF
/z7das7nGjCADnLV2kywsanUfwbWUA9HihgZwpNADmwxHkBA22QXc+/jUDXiGkS1cnSE436E8FS0
JYlvZ7bT72FdQdprBGmHd0lrQVMjUZQWgb8QdWP/xerHru3yLw+AytIbyTciQq4dx6FrcBZWLXwd
9Z0cGXZwG5o2DJ9Y12KOCZVsW9ejx+vSK09IzO5011IfpIDE3Grq9o9WgODPg5SPmPsoA/7R12lT
uYghGe3Gtuye+rK1Vk0XDxvZTDFJv5gmK7e5U05D7iASLGXrktkguMI8StjpdfqxY3O0MMtWW6c9
jjea5rzCbSwOft3kz51ZPho8TN+61uiWhW6xl+rK+MYP7heyw8zw+MjQ0Hxw87Y/CQVgClzdN4g/
+BV4/LdQuvg7bO9x99GsMKeHg9B1F/4yHOXpaJSKBhlm1s3ybeWkzfZt+uBby96tUcMaxmRh1Zly
JGG/G0jFUNDM0bydJWydWX3bw7h+Z85NGVOgRK073yDJ93dMVUoAN8BLdkBA0QNzOuuit2W6HlrU
gb2wVRaIjilv1mA+oVJi/XL1h9yL4LfXY7P3x8HbxiUFajd0t4qgIO21hrcfszhff4jikOn+FOfF
O7zP4+EuhK99zS0J/AGcB9W2B/Jg1UOhlTvsBPVz6ankO+amZ/TaytK6dNlQdQUk6nv9vkIR5EOe
J+0ArwnfPKQezj4h1kxIGjQ7Q0/FjyYUb+E0KC9pNQYbmDTlMQYycxF63qxUEsJH4ITfxj4nZRyP
7lMTjNquygpehB0QkxXL5Vvm40enmNn0x5miKP8vdh+H8uX+359jMcM7/yRo2oK8q9D5X7MtFRwo
/X+gtBAQ9F3bKeKTnTrkf5Rqn/OH/tIZyY9cAFGMHDX+IgB1Aup49VJ9vJUt2su5HX3R8QVGoSOZ
lrI5drm/wbeALVQQV0vFcdV3cFl+bwXvxTgXlFoj3VZ5oL4Hz43m1O98radA7bQl/EABUMMz98FY
ix2MNP+S9rW2LoXrk9EOyqVfq8NLBD/JGzv9bDfIOekj2u4s0ELLVK9gF9UrtJLkEI/MqF6jXu/x
qitYr7t4usmY7EW/A75OMpqrSQ1ZEcLAfbVABcFpV5SfTr0uI9P8VbvJWxnm+hcltfNVpeNQb4Yh
gPggA2YeTtNFXj1lSfNqzFe7iZNtWt8zV/pctarAmm7SFo8F6SUzxpjP2En2P0AKpvn5W3RVAdaO
r1DotqN/Rm+bOC4DgoO2MLbfZAkOZwTemxHU1KxvQFd2XVOtjUJL1x/tHvR8G/8EgNAdMZToVoni
sWEtdKzElag7yg559ik2iHRmh3nDhpnChF7a9ZsGLuC7Ma7NuKu+qZPrrKvcYUHhZtlLFHnnQQMA
IdxOx+3USc54DDQ3fV7KITyD53bssCcP9SFaIclirgPVGW6xleHRMKjT/3hv6e6MTfqvG36GI7JS
Z8aGY2DL/j9u+NiqnDaac09VV/nbwnWb4ZTU2dpHhBLiQFI5yzayxB42/8KbYPyNuo5SCejYj7Pe
skhB3NtyzL0pzwAQ/L6kCj111w7jlsQXOv9FqGxQpfVZZwhV3ypULxd2pLig7jk0ReGdSQAZE0VK
f5uWiX9kQlbarTpvGtHZUpYA0/MlumkawFU83tI+s8nu5+bvplVh+sK/kSOoMiRkmJphG38ahlGl
QBiieTfKmrXfTPSVKj9aI+rjNB9kMx5rNtZ1ItYFAsprHGDNvZZ2xesY99vA5fmOzTFb92SzDoj7
ipcC0a0+42bwgi5Yw3MrD2PbtC+hXUOLJJ60mgDMCrq7Qb3maprWutbScA3GwZwfk+7ZN616Tz2l
WMqmcMPySsXuLFuGl3fPYNuWxqZ9L3wRnuwwI3vrjMZ5Upz/HAACb+E2/3WPy2FyhIwF5gCUV3FP
laG7V92qqL07XbDRMPJcsrRCcygzqh/1JdXNcj/41CUAx+QdTGi+hr+vkVcrCPfxcGcxaZfcjVdt
OqanTE+jfRVSI7/HPk4HgGOnbj6kA8l3bsSJmjuXyI5wNN09O7GNfOn60xje7PAoX7T316spMGgw
a4uqXEblphyTbBmUUNTkuHqEJuKRAdoEcYei0XxgL0BdzAvT32096k20tWAvRP8ZIsfJEWERR+vI
iEi0p5q1DzX/qYEpyNosAZFedazSPtpRVein2HIPWszS7yNWAwaPLHe42LVh36wMrX8LX+QRYE8W
hXssyMmb6MXV6Ub1sTG6WR6BB002o9pTH2VTdsiYHOyO46bPS+1RhoQVNmt3PhgAeNOZYY8AuP/7
M8fAVPfF/Jk6ZcnSE84tTPxwXalqx006dc9Z715zR1fe8yT0lo3tNCc/sd2HxrZ+AnVV3n078Zcm
Ut6X1GqGawfQZyE7wAllbFxbcRNKDIxoCuEhzldMbv5qs/99UmO1JK/SDisZ1+t+nwZOtSpGigNd
PpnXCiDdok4aZecJNq6IXoWoAdbBvpjYRAR+ZrwjoUsmRS2/po1Z76haDxsZT7VbpFfdWzWa5tYQ
WbQdXc/4gtLJQtU9pBGQVXcWWheXy9RomaDxcr/JHjSs7Kv3/R5QVTW4IUWbb/IswMQ97MOt0rMb
5J99zshyvwUjvM4mUs1tN4riTffQubJD94XVElWFZnrreAmQNPPHd6dNXu268p+E1SQnGY/h2v1T
vJgdp/9hvFApo/77ysb+/E5kZwKvxXY19CeAon/OBw1mYOV2WtWnEGdzdlUoNzSuHl6htuvXqhAA
PWcaTjtwj8qO2O//7BCZhYtFxBeqYAJxNQYb5JsYvWVgVMZjqhrGY8ziMm7z7CxDE/qoh1ZTooXs
zOcRIm0cnsYu2MtY7UK293s/wAUz3U9DpT4P88FgTkvU4qfTwpvr4gT3wi7q8hVsBMRFvaQpV1pg
d/uwt/xzC25kaWWBuqUYYjzkWmg8KGZJwb8f+4M5q1NmTqRuZK8V27u0BpfVzGM9JuwHslz364ZM
J2Pu/BHSDf9/kIzc//9VWFRpwU+aBlwMEnSfFplqRba9Reain0D+DZ5z4u3snKiEOKcyyDEsL62S
iYKYHTRjt5A9yI9MFLSCWJxiqHtcJcPy0pHaBKmUzttM7a8qVk6jwJdPHhBzm9nByWM0+/JZ7YDA
WYclUFRZvF6UkQS3x5QhxxZd1zNHI9oie00lbbFs9c+yU15fGNUS8ErymOn13im9YN/NBD51JvAV
krUn283fQWfCAstszvfwaE17r1DCCUXw0HxN+p1COiBY+C4W1XYQAakXMTnlYIb6FOgM5F78qEYp
Ikqjp52VxHd3Rm06+2kW8W3aut9Ajk6aEEh+2/4MAVNf725K44DhizZ2Yne3TcpYmq8Ke1ziH9Nt
Cthor0bsGMvQpTAtm7aofmGO1V8QlLVeA6dEY7t1yPYU+hPp85UyI+L//QHVtM/AWkHp0xIsWU2L
ko32ee+BiUKq+E1Ynj70zljLNcsY+OSQKt5NaIn9rKbUv2vgQCeQEvbzoILxg2bT7GQvkn3jpoR5
uPYjy3pGddCHoj9FyzxspdKRA+wOwRXK4bUoi4WlFc5f1lD+DNgpnyUAqg71ZaPr07OllcODsNWL
RE9VimIcMopcS9lMyfWt8fpst7pMtJhsylvbis+yd/4MvkcoCU75EqdDOZxitBTWaD4XC26dJN5w
owTLNJwBgbPQS09ldV8M9b4wqJp9kU3YH/txKHau1ZuHXqpugIpjqxNutbnwEIsW8F7LTFAG3S3W
Ov+5VRy0FosMyYtZK5bK6a2C0roOWo1S9AhSBOZqeWysSVyGpkLO06uM7yJ7xLE2+pE5s2OlpsJN
mPuANyFdpGUtq3Dg4sBG3EWVVOFZaF35ms7KzjPaHKEBZS+HBflY3eqk5gsarae407O3ieLL0kbw
nonG0TcK7WNS9fkx881k24IvfAjxLl8mP40EoS1cQWqk0ym51OZ7pynzmrFoZYvfIz/8+/1mfaa4
Co3CI8QFx9QNzXbUT7MQqvlDiDq+epySAZsKveuX4Nqw7ZGUT9k2Lee/2vbcpiwKDfA+vpoZe+wK
LFAWaTDCfqNezB7iYw6Rs4ZX5F9UEqofE4mSMiXXgw8Sf56SMGzol4KvcgecKHiCPd5upSCvbCaG
4z/lIY9p3elX8oDZxUrNYBNDVlvL92qPtII+tvmr1SfsUzLrdzxry20B7O+lebtjHjNl0hxUrkFD
os+UYqOSlusALKu9lEDIduDN/u9/aF6un/ZYZARth8SeZpiotrjym/hjj+V7dquBPMbXDvXIJzgW
YiP0MVljlOM+s2MRe80aU5TEDPc5i+zu3IbTd9np9JVJqqaapYW1bok+3oIFWv4kmgj/cQOx/Kz9
wuIIKINotWeDetfSzlSeprnZevBwyzbs17JpB2Z5UCzPWQCJ6TZl4ydbm3rpsSq0Z9uu+FbNuYmL
3LM7J4pgnP5lmAguNdOMxGrfKghnryMLwJuVpDc/h/7T16Z+Ml3EIGRnoJXlPtSDaCV7deTbeMMh
3SV7a2RUVmrdsdpTvGOtOxpYlGRcaZEeHjqEGQ+l6j+VfNxVHsRc5PHjEVoiOixrGUNdBFOKxo9g
mtnoCKcCaD6ch5IzJbt85KoCdSmaPFoHka3eumhq13GRaLdhPlNCYvJMxmTvP42Liv6X0qm/MjVy
VkqkWQ9jWvw+6/8+u/fez5So+R+rN5YFn+4hR0Pnh5SGoavzIk7/9LT6+EVFQ553x9SozJUwurJj
ount0+/TWl8mwK8WY21Mb0MgbkphkjcuzF8phn8/lZEUIOS3/NX0a1J7RetevE51dthlxnszUceL
0YTuyrM6+yVhobiYonz6UUND/PgguxPY09jB++i5oORbUA75WOByJ5KCrVSbgnb94zxR8rd2zCiy
jebGjCf31Z7M6lyyfsBjmKYyedpObxQVF1Pfe027CeVr3Qp2sndIALpPmTWckD8B9WAUB/STk8ei
D0Mggb8/A+aSd9Egh3U2pEgRaw9CceJ9Eg/tttPG8jmcU+fq1EY/Qq8+jMIZvlpDSOYHLdFjoxsx
JV64zlXhaU9snsq1YzjRuXGz9MiXMG10xMGeWqGOpGaQV0GTZeO3yezJ02nbMgyjq9UN3yhGm9/C
PHhX3M7/ngr1K4iO4jtmUV9MVjY8yUgg5o79nTQ2/hKiAdQD+bkfk+AhSkHQY+EW7iH0h/5Sg7u7
7PWhxLfL9h8ct/XJBffeGm3keIUmTeQvlaScdlbWQ6ydx/BtcYhdC+HG4kGGDN9qt47t95fg1mWj
jTxGVuwVTYXRGKImOrWl+OKSilhStQ2f8A6t14nSiouIIahQ/0/RtFfcQx900W6Iq79KBP5WVqYa
L3lMBcmbBvsEXh5rz4JKk+Fk9kn2srX93asmkJiA4aAsM4Jl6zKwJhPu0UJRX8vilxoO4Uvljjzt
GJfKaBfHzUUU0y/Zwoysw9A275aJCR21xEDZ7B07WqKfs6mZcC/uTJtCCUu9tLEF+QWyFTqj3gOT
RrbXMmVY9IZnnBwtf7d7011ZGGqQVa3Da5dAnuctlW3EmFQ7P9LKVUMtcS/hYVolzoHVRo9Ro+qP
Ue4fkxkf1oTYOliKF6wkxOx+0UBJZtvXOfXIGec7FIW9bVrcCe4IXwnzlU2rvyV9A39yBv42BjQc
PDKWXuAd77NeO1e6Ib1gcOVE/ereMQJx34C0O0oVE/6cyqpMIm9pOKS10G10jItUOjHrZ+YSg7Qw
Yiea7IwUQAlycOjEwe/B8orC+hgsr7R8oB8Y3VT6VWgp86yTRJfWLmp1YZrmSvEK4/jRlD2GKsLL
GLTxQvXGfiuiPrrI2L23pYi8apq8Wt07YsUqVhWA5dUHCakyyw8Skh05R4FK0751i6gDIp3vxobZ
1zD5Jmq3ggSaqfZ3kU4vfuUqz4oKCtGYhLntVXt6idT0UQ5gDVDMZd/oUVB0OojIjDdqMphfMbrc
yBFBnCUYF7ktxAZ26a07gcwAiPc9hF9Ra9nBZCW4hNtXXEnjLtqicJRFjxDRrUQvLDXITIq5apeh
uXLzMn8Z9dz4Q9CDAYVXqYd2sZjkUdeG9pgMeXtsbBtQvxIUiwZl7FViuv65oF51jJEH/Gj1cYzO
kzzm6KmdxyqL1moBzsXJp9TZp7YaYU7UUcTlNWgs2tT/2Ss91VetNi9eEpqXUmvjtV022dKw2ZAv
gL15R7SnIXamsVls3HBa+4hTrFGYK7eQaPIvioMhL47wykk2MzdZ1aFTP1dNFF2AmG01J36QQoqJ
2lLuddA6lEKKLRZhXmNqTNAT/0grKRGHfC3gBT9U86GGDrBoHas9mAlwhqXVQfLztPhql47N2gW5
RAVs1/2CghrQYf4hi95d1NPKrnX7h63a10xHH9kxRILKpNBOOYmwRR9E0f4OLMUJ/q0f1Gxf5wVI
+2pGl6rJiEt4ATXtPk7CTsvCzU488uuPwTImh8yfYjU1avo+6fwY6Xt8uZUyefMbYIcsuexVlMTl
mz94vzRvaG/YTWm3Scm/D+lqijXjp69RurcCJt3E48uKR+cnkNDncaqKd54vOACVlr2U7KlXXGre
sG9XNyZC16eoK5o96S5r2Tbj0x3CF/ZCnJOwc9FmbE4y3s34vqptstP/WKxanwVQKJdQy7YtzbGB
QCIx+N/JCY9kbFXGaXSMCxgwnW5cithETiRMnG+w9JhhRPdSmYWFSmKJkFEy5W85m8yo0cW3HIv6
VTVG3rHHheVh8hT4YfOVwFhW/RhfKq+2Hwc1nA4wpaq17GvzJYYf9bc2qM21XYEe89JWfarr8M2P
A5R4O7j3cQSwPc7dcub0jfA4RhTUjMn5pgbeKtPz6qtGRmWrdLW3QOPGPHDDbBw4FyeYcu61DC33
2lqNf+Cf9VWG7nFgzd6yN/GsiVhn7UhZDKq2AXJy8sIguCVOD5NKz5hPx5iMIpztXezDc5e9zjwk
iDGU0tgZwtZlIwNCO3IWCeyrs1sj0SObcrRqZQ4uEBcRJOEGXAprGy94yAsNGkGUfkEYznop00rd
+B0Yy7YaypuDPcFSjkBZtK1F81ff5yM82X4uRhSgZQD46xLgjzyOOFtQlNaZ3UfLP4JykOx2gTsy
f4Eemgff4+CVxVmNtGGdzNfKphwyove3TEGRbaSBgKW4F9h11dEBNeYswCW6+zit36XXAMwD/7cR
gauwSQwUbyNjslf4Ir52BsoijLqPNyu2GP9H23ktx61rafiJWMVM4rZzbrWSJd+wnDZzznz6+Yj2
trx9zpmZmqq5QRELIFvqQAJr/UE3ANnKWDAMvHnzy9To9R0/Lilfii/K5zgY/Kvaf/czL3kXGFSx
Q8oQcwgL6kOIdlouWP/GQvXZSbFDGOIQ74C4N4+ykcGPYRkznlkb+qv//rf0LztsF6a0qgpXmzEh
ti3LlL/t+8AC+b1pmcGRaop6liw+ye+z9MZboMFjbj5iRqBjDmoW3gLAcccnq4co9jhpzD2sDxd1
AD0l7DrzURepexKQayYMQh+nISLko+Ral2RAf3a1+tYM32RHnoO+PfYBSoMn3jDtfRRUF0mUmEe/
ROyFKqq9zovCXFuzFIwWhM4xn0EboZpnxyHLKXXkYbTqk8o5dYpuXHW7BaHnx+FXMxtvraKHL0MU
OLvRZLGvtUg55EBQ5QTQTpi3zWf6TmBejdL4HyqY5r9sjNhRc8vSbECDQFGcefP925tcKLVGdsq2
D50EWkM3WTVlazurOgNG4xSkyPy+jNytp95s3bLPTerx5BRlrqwVtXo1qmZ8yHDh9LqI57HSU32N
oYCvWsSE12Majg/hGCHY19rxKohxt1gYs1qwn87cht4muewM+5gVR7pBTLnZsd761nulvueGYhym
KdT3DZpbBxmLjeDnET9t46DNo3LeH6N/zCsQ/fofvp3Ctv4QFUESkqyE5VoGnzDZgj/3lEGfVZlQ
yuygdkYHXkrUK6tQUoj3QXfWSb+sYj/JvrrWQyS0/luqpu2yaYf8SoFuPNqGS6bRmKr3Ss02ppX2
38rYUhcDwNObaGp7n5nsobJkhOzS+PdrdD3m2ehQ2U/zbxb+VBbs+nGIn6fU/h5TsVupnfl3mRaf
l2glKhsS/uRhEjdXeM2BFWqaKC8I2OUjrH1Maweh7hxnik9hW74Ju1HOUzGGxyTS3Ds3riyL8Ogq
pnsnw8nRj672z8n/8VxJwvvjUh/nShKsHP13r/vHuZKE9zH5P56rubDUJdvv43Xluf/uj/x43T/+
wf/FufLd+OOPlK/7//wP/rvX/f/7B+V/9Meb83/8B/+Pb06gGS+CMssS/ZRi3eg+m6wGtSNS4gQ7
2TcCdkDTQBHk3h8yzzzpM7ZRDovCbB+aHgVyABHLYtSD24Bx2pSnXyotWhmTNhwMocF0t7PpqVOd
8anm9s9Sr3yQPa0wEOgslXxjzjMGpUsuFI+uH/Nd1/saNXFzkvNJkWBWpBfjqVTEAjDCALW1ah5k
01KjWUVCb8mi/h3DpKA7ZSjcschhgfwrbub+DRmsiTymn+07pQxf4VzgHzAE02GYuyW7E2iKyQyj
N8JXNjrhIlY19RyyTHpNefPgo5VXOWgBQDamKL7JM3GOWRWB4fPvcJ3EvFTQoV+mBgnrJrrIE7AX
DJ5wUVjJKbnSxjc3649yrIWLftWj6UW+UGFPAIt1L4Cvy58BZB8euIU65kRdb+kVwYRSulmizuG2
1zQnj5+rxTcZ70qhAaGq0d+wQudTgcymjIMPTncNK+mN7Ia1OFoF9z3Lm5wTdmnF/bJp59sLs4RS
p7W+8Zi4wVNUTON7YXXt2hJdROmMV/fwoY669wa+xV6j+L6W0cLMn0vP6x5VO8pIRPgmuuSc3ACA
JdOTkKjNYmRT2ugo486D2wf9E9xE7ANIPf52VCVxcI81v47+mKdocOILc4KP5ATdU5p27jIIE3Pr
+W33pEds0wLTfpeD0pcgjdVPRqR5J9nTe6xwoPb7K9mtQrN4si/y+I/rSY+DCmdsozfR3HP9gtVp
a/MVLswLhSyTYpBnXEIk2U+BYqxIBZjkVjxUS+TA/QyyxWvZlY08TZ4Rgk37iEcqlWKX+uhCCnz0
pGHOFqIksU0iZvZ3+wjb6zuA8SPirqU3Y6obr5quKI86ZuOLDMj2c5YlmI0F1nj07NQ/ozpcIHzV
T69xG36O2m764aoCdQez+prXFgyhSKluQILIbgg/RVoCKVdXtUgaem37meToTu2bejnVCii/vMoW
Wmmpj1oWFhTWc7HxezG91qV7kRplTdNmrF8a9VH0IzNc273PcAP/Ws802j9mzBTbWvExLFan4FaU
eXBrOgTedCNN12wZue+4TQzp3kbmRA4bZqjthgEVsE4ApimBnS7AIDBREYaDK3gSLAOyFRcpBiSP
+lkWqCaxCIir01Y/B6jjgy1iopG50ObG7vVjspxif860yt4GU18Dlqmbq9XPesF2Xr9HE/utQjU+
qxYcGxIxoJOQzrq1M2VXD1I0tH7FrLqob4qr6PdYgiIn5kAe/ARkSza160V7rdD2GMoW1lkXKneX
Cl0mvZj4fVrAFgIUfOEZz3177ivS4I+7uL2YAP9AAGDdElZVexpQq1lUgh9FkHvGVliGt0uNeLoJ
z7QWJQnQ71r1lLmuQMqcu2PWie5KlhDxZwPUSdJ1zovRZm/Q3DHfKaH2Gl3fL9AE19mNB+NjXYCC
n5MSlFTFGpRyteuAlp28pn0tZ9SzZVvdpZxBzz3cGpeNw4k1YXePy0E7jaDcqepVzpdTP04ivb81
xWBfDaGmz6kd30pD6S5tGWRoMCWowWehthXodT6xoMQMVFOCT/qQfxnbqP4Lm4JG1PEPLUbFO2gH
5XlSkL7q+TdPeZ0GR9vtxEZJu+ERIVJ/Gbpd9NW3QP8M3XNRIAPHnneCiOgETyJ20i3iHfEhwQXx
0hlFtmogp7x7sDSjWc4Y9ctLzkrojaovJsbTUsqjdKzvsyLUT1I7RYYMpa3WkZIb/Hpsp+2WsZk+
G5ldfW9DG1CqnX1KVOrc5AIAgcZqfbEz9jJiUOsvZTQuSUVU3xGDbxaU/ezHMhninR90WNY0k3su
Feut8wqbAnea5cu++t53db3xXQcjqlbFdWtu9BltbpYITBW1W68+BmpZ2pIjJRzGlZx41+ot/BHz
lHp6V2BEPuid/hlVxPANa5lma/QDvHm4Xm9xmmDIkxo5KX3ckA3AvTKu5QqCG/E3v2umXVP6xSaa
bSDDXmdVPhZvRq5NwNTT3+IgheKHBh3mVeDo63HMtWfZZCJYZ/GINPEcioIuXfD9i5Hq07RnTLWA
eTkTyKzQiJ4ycAf7doBl9NmuwcYbaveaoRunkYF9S4YIYT93qDb+zEz5FUdHod+5g+OsQPOshJbr
YJuVdOOGmvXMb8yBrOYbSwMo0DMEOwjVmDwBcWfUjNLpFk/9Gvc9SghxlCyz1IOgHZTqRnWjsQb9
kKOxi5LassBJ48SWJj61rRWfYEUO9UIGkZHKYxwerW/9bION2u1hSqk0m/BIFmXeilOYOyQ8WZdU
nttdZa9KsdpWm/JR9pz8gGhC80Ip1nuKlXgpo13RKw+4jLNRyYvXAe+2C1uUH3LMjAv7aCLxj6eK
DvCpAZ0JMLG+jXH8WlDBPMqK+z9D6ux4KuNJm76Guftzlgx5Rv6qe0WLEaV1TXT1FMIGPcdqBbJW
j4sY4if3SxmUDcJpjLTco3aeSNB5BIb3IGb/FYtsALZJKQLehD7iXVtfpjT3Tx/xWUsYvceu3HzE
jEBEu8oyKPs2CF/3qd+s/XYFXYevoDZE2zJ2ta3Kyu2zlSPa1OqbsWijTaSiWFnmYbjkdis+eSow
21q4LcXC3PvkBupTE1rpbWiLmFsEGJ55Vlun1t7WDJ4E86ymxcm9nsCBKyO4b9zP/CXqN8U1SoQg
L6LjHj53ZRP2EzbYPV4LiUgxPaz0ijSo1kCAJptoH4J8aDExjnkokAhc62qE7o9jqPsR66oHycVX
+TmGlf4g9SK0oc5ZsmlidX9sGHPfnjqxustLyL4cjztnOvg5lvVTnGUPcSUgEJhVstc0BNwXNsD0
vdoUX+SonSB18zEP2Vp0M830E2I2hzCd7WyDoVqE6dQ8VpVI9iEeZ3w3Q/NFhNqznGEYKIRlyYT5
HcBmFKGsI/gfa19alrv1dZ8krgo+w2zs7jPKkgcfObC/gtHbUYf3Pg9IKSzDtmluOffbrZ2G4cEu
0etsABQBNLzERiLOxqNp5+FFNj0JocuUO4W6aLECLRFF28uZpq/+FauGdVUVBT24GRFm9iSs7Mz/
qx60FyjwwUJDZxmB5EF1V167tzQrudx7KFnpy9Gu0RRDIoz0jsgc7C9A+A65t48b6oWYCWiU75My
YDOTFbt7v2/GaZbKQEveyiexzXFqTbTaPynzFeSJbjs6FyA0FhWiGLVyeZ3Eyuxd0YtPJfjfX/or
UmxF6qrcY5A9VhRSK+BjJGnlwF2iJSr7gYfEXZJFzqUYihpL8M22WdOkqq2Yn5Mit/eicZRtmSr2
NskxHMXmGfarhWrvyhsi1sSzUgTfdHykxuSHmZTiIHtklvqVqvcv0yylNmQI6LgoYAPqxFBWxrSi
xdo7IokTjuwAM6czVrUbfg1Do94MU94f741n/300x3Cw7I++RZO2ng+0eu43QQ1khwIPFt7WIwq1
1MPydvrSWsVOmpW0Dgrw6G2h+4hsiWsb6POqcbdhOescKy03jymyDijg5dajPZ+usrvSUtxhJpSG
VrxStr+Dy9rmC7f04WpZlnitGkACfvNIcj9A0LsKUNwIfm+U7q1AT32vFqkPRZtGHvHFwuWvhhsu
dEdB96//OdDOBsUpklfLPwbUuGQhh8/Sx1w5Q17ON7KbcPz0IHtwT+odEGoDXRqKNq8+iP7HHM3m
6RSSvF3ZiopO4cyPK1Q9eoy7r3eCbqy0zdKj2LCTvDk2VsZRTcvnIjURRZ1JWkj1Nvuq4F0flKG+
SYyOjDkWsiNUwg+6l8bHVjR9DuFdREfZl0cfjfAQiZVdhFj/noh74M+gqTdAp2OoScLpfl5mEqRF
71e8nyOnw71p1xQxjVUPFWeRKlP+jHpzyk8wh7xtYd9n6bmyL82E9G8SFXzcdr/Oqtpe+o5eL1QU
IE+in8aXUWWFB+dDOzZpM72g0oCNZZbHRznqtyT1RU+SQHax44QAVQbhvasDVFki0KavtSp8jJQx
fG7rItmqYtaDLBW0WcjxU7PoHmRPzlAVd+cBGLoCIY+eIQHaS7RAUmRRON3z2SUJOE1LeUJpeOyy
kq++ouxbRNX+SqppFwTYj9YlMNQM0x4gJIV1y3FExp1aaYGaOMMZuXweU05uv0Q1+pQDEKa/AopQ
XAF5279K7EJe27EN4cqWzrk3nZSCjz5uA6jue4Oa48aaSfStoScrbACGreySvClmsEC+qMPYfirn
xu1B3UFyuckZvep6y2lE0ksOOo3uHnLwdQs9tbNqGdXmQlShc5+cNViF1G2b7ORkvXH6g7DD8X51
eT3N+8Ft+kvj2ajouCawEBuqxSJOrGnrWArk5lncMNHKEAoCsPLaVYJTHzbBKWfHxGMXNKDrpjxz
2qNh2PVDjlj+i6ZVX9O8Ms9yrApCFcSzVR3l4JgVr3qk70pff/C8pHrXLYwHQ4VVExg3RBUgJh3a
2KvOMzF83ZfsqzyngQCXuHifwkZbA0zz87VQtlo/dJiYTtGDbEYXAEnU6foSht3PmBxAg2Ov11l9
GkTfIm7csvxRx1lW45/z+lD9hgILKs5zvDPEj9DW/X07gop3vksQp6/39TWcGxmNv34E5PjPKKaM
9R31+RF1vsu5MvB7tO97NCHlNdP2RxXnyirx8mbrT0X3KQ25XRZ24Zzh27WfUHJWPXS7Q27uVwHI
V06CHNHtgG36a5AD3SdXICjgsE04GEATwdY5vHGe3h/HuZFHH11o0zgztO4+sJr+WNkKZrdyVPY/
5v3HWF3FX6Hs+LsAseyLwErn3iDEMC4NbrtrSwshGHhap190bHYvHZjUyZhDRmOyO0F3b+2bZAsc
OVFeQl4s7XK+d2F8AhSeOyz2HOCVVT4Lpc6ny4koccHNie1D6YzaUwJlZN8Hlr/pq6n5PBVfnEIL
vmZGDsO+H9AodMVZE716caArbyxuucuanNBFxmQzzaNW3ry4IRxRGZIz/NpRL2rnhYdg0sitDLBR
PkZzFFKXKKaoaznvj2uWsG+DAsEVedb9cnGQ8keSRvm4iDyS5/d+9cKdt0brwBz3Qy1CWACicvZ1
CM0i/QQaSrtWQ6Ffm7lxW6jRVhK9/BHPdG41rYuu3R8DaqxCrsuGYFObX7ymDtn3T8FDn1fo3cVV
+Q5sUF2VZRcfPACab6y+imzyQfVU5VxMfJcSR5rvj5e5JyWOZM+hZypGzm827RdDFmLZ2CCwtMK5
HrlVzRbWrWhnudyqrddV8rWe0vjdUEmFqQZO5LqWNE+6Hn9H5R3BfOez6/bTxnHqehemZviWlMPS
nuNtWal8s6ppH2g12WYLNm3bOZ8L2xQLmw1KAo35oCrDe680wS3QwoD1rl2gTQxufO4FrhlDf6q+
ligCXWVITkUw5+pa3OMKNPlCim+b1DWwK5ut8OoQ42mFP/nKCkp/xHbnQcZZvE4bl8zOVnbTJjg0
Fs+nSpvU3eRomkVuqet4xOeCMrCg4u6OgYYik7Ouh6m/gT/sajLauoXjXUP+PnCDF202yvt7ZJo7
gHvliB6wgGJELTFzABd0uOvtCg3Sx6Sz5ZNqyVJXV6ruuqXzGLnWKSvAPo1VvgVCax9tz7KOahfC
odT8elkrlr4p8mq8ZL+aztemjQ30FJ2CMkfAax4xNW285Bi2LpAry7Yy5qONQtWhioC8Vax9pkWX
OlMCpCkedqNWospXq9NZr9InxRfeNlBjZ8M+fsTO94wQVPceBIS9tvoZntLzUETGKbLZW4Udec4I
TuV33f8h152ZEE+RP2hvZAt5FEVK/RCEQXXoZp0XyXcykvCAOnP3YrGDhmhgYKAAm26X87kiIe1h
OuwmyjFFV+V418jvub3KWKggEqbVQt/EZARRSemyVcaN5CRQJNUWRRbUh8rTslssonoFKLo7u83g
nryo1vEpdwBk2bH9rfIT3jFVH26oLaFKEiXBNg1VaKKO+JQUwrt4cLCBZgf7ZAjEl5APf9GSlifX
L/q106ra2VJcde+ms4mXN4TXrEeBhR/0Tn43QP06bDbHfiO/HR9d+f2o+hZCq4I0p/xWTewv1q3b
fvMCiCIfJthZOM7yLLNRtoov31EeyaYE+YfaUXPRTBKARbWHh1Q8hia7uyKD/NyQXlnLsTSPC0Se
h1sH4HXbtqoFEnfGg6blsJp4wu8k9BNpAX1R+XpGNqHRXucTsmHq7thRo3qeEBV4mepxZP81qasW
NanjRF34yAe3iPVJ7D9CoIPerXqadmhUVd6mSbJkVXqJtSR75p5MtwNLMR/ptanwczCiFRZD0VEN
+ujYsVc/fnT1OUYivsE1dJ4jh+VEXcXdNHAS/FTnOXE4LfNe4b6GxM9HE45pMoIhxCALeTJAeLMs
kEgw2XK7blh4aaU9mfyEpGy6+4+eiTnTI4JzyTCpfCgwmqo2K3+gT/AdClv3Sccza5l5hfPQo82/
HSGYH5OsH4/wKIJtUVkRSGKtwrQofdIDYDI5Sp5vjYlWc59iEy2ck4dlO5uprHqrgAmuCsup9rI7
5MrGHPvquSdDdnU8O17Is4OsCjeh7alIGXGWXluPTVrrUO+C8abZPe4yhOuABa2Iqngju7FtRQvD
dLJrAa4WIsQaOC93CGmkJq3SgkDJFymcrzVmwozI4G+TpNtaMXlPkNjSq52UxT7s8JBhby3e+hZZ
7wG6FsozpvE42OpVxvlCiQ3aVGj/RY371jT2xUGe/LGNh/TqjFnOBst23wA/AR7xi2bbIQ6NEhpo
q3Qd9+mparT2USh69Tj66kmUwvhUJEhypEqarUp2zp/cSk1WwMLFXo5qdnxiG9k9oroU8VloX9TW
dDYAl8LPHgxpJ1WbT1XnWPvUwE5MxpvCvcSq7T51IK5OJSzupYwPCYL/SL/rD2E2KiyMymmR6hSO
DL9mo1oaSPJTaXl0KvEeAu9bGknq12tRXxsDwvgSxi6a5liALSU3UrIdg5A1X4V+/0rGZCP6uF/C
MSi23hhzXmmoqFwluE/gJv2TWAnh85AK2N1ozZGtA0c9eR4sfVVPr8i6IiaYaNMXx+ley8Swn3IE
y3nGIbAvpavaeFeaZrKGx1dgARR6JzUou+UwRcXnhB0iOsfCfqimvrsAH7WR8BuKz6U5Z//LgS9f
gwQMi8OCDwZU95RTKWO9NpwdH46Vrrhf5JXA3Ypll03BidWE8QS4/0HGA/J3q15D7qgwbNzO7WZ3
j8c2Yg3+hBOy4+if+DotYSMUn4cIgEnv4sPlIcPx7jiLfv5MGvbPu8r2nIcmhj2li+kGbsV5+GCk
J+6m4DbxIFnrcqZRFu+GMLWDk8KPCRQsx6UaJxUGJP/67iR7GEPaVwSOlpq0AMtTRewyP3hxUuvY
G0s9VrMXUDPGC0Kg5BvyF32G4DvjUpk76twR6Gi2gbYc3AHpZvLh56hVgh0Y01cH39fzPYSw9tkM
QrDGsm925fcQJdDL4CxEOJDQHDKTBHA3J4AnTEd43PsbC0aIgK3cPIex653CWG0eYQ2R9CnyZkcV
sHmUTRCuSyqfs4D++IBVJ86jBmZN2vznheHws9u4L471eWwy1HhBG85EaMfok23TIdsowyhaJTNv
GvJHstWyUV/6nv7Fb7Vk4UPWPxhjrz9WjTed00i/yJ6vxyy38rLA6aIxNnYDXdTRlY3HZ3YKHLXD
HSDzW8CB9O16Gg9xP+eSk9Z11qRJ+2UGkyu5BUM2LEYctPY1D9pbRop8gv/8JBuNn/TCJ1V1lF2b
vMfWCpKINDZTujBMZheFlUHKbaXXXnyE6jBey0ZbWKWJnOmvrnS/y0MAPujoll9jvbyiCzbboPDO
yreSPMgnTRmik+xp7qgjLjIm2G2OyS3VYD8ZY5V+s4sOjaOheCuzMdzESKwdAkv82xlCuJRx25IE
fJTsKs/JNqIZ1fe52iiGun+mvkiiK/K6pdW32jvMPbZDWmdeUkgrvBP5e6Qjvwpc865tOepJhzVR
VK01P9Aepd6lOoRbU2uSq+zFvmfsLWxCF+2UiG3N7WMvWIhlURBd3ZnH2gQDArNwfQ95X1vPdooq
RqhMyVZ2qwFLhrbDllJ2YU53x3pS2sU0sJBWdKd7HKZp5cZpGWMXrPpIivQAHDMfCUbq1yYCIDOP
hXt9fRvEtArgJ156Z9w1uB2e6tlWdkqQxEXu4q/cj5urDOXgMBcsVeNln7vejZJVuoHuWoNmzOdv
7BjFy6rJw10lMuUm53SJCwtbjc+9bZSHvmXBIRu7smfRiQR/Qqjfmwjs0JNTaVhkDLHKtnNaZ+Vw
QSyW9H2Mb9PopONNNsVUCFZ+8Ho/YmJCY7AI2mgXsAa6z+NjTReA2K19q7L6d6ADLVgn9uT52MzL
ozL2h+M4zm4m4y7sfASeZu09d+RG11rGWTaozpjY0nXGOaysZpcZ5qc/4h9dvWqrJXJK+sKsakAX
TbdIete4tpXpX20fkolUoBtqmGrRPMCuOLhmpUCfIXO1h8arsKBN0J2VzeDX5xw8+O4jdI93sXuf
8UcXMfC/BzI73igermG2pzRrTJ6ulL/NDSYM+VurRz8QtLGvCXafT05Q7BzkSd6o2zV7A1HT1b1b
AmF3U1GeuA0wunA1N3lLoqlBGKcNKRxZ9opyTraMTaPgX04p/EYRKiNh1IwX2fjz0YhCwqWPFjLi
9Ha7Lera2sn6XOw57wq4nqOs3cnSXNNa761q/B5KmSVDH2W+X7Nk6Ne15KzYj+pLOYuMmxRkjagd
Xh2vT69gHt51xR9eRdWNRzybcCyYB4ek73YoHauIkDJKalesMzNyNnLUGHl22pkz7ZXevGRl5a4d
lsaXJq/hx9eZ+FppZ2mZJ0p2awhV6A+zsMTe4Ba6cTSkScAZCUx2mmFRGWr+1DpRtE2SojhQQFQv
rlJCtgKB/K639SmYS/ZqqJ+7iXWZ7UC3tqJa3VlqhEmEot0yH0Ur9NP6lezKZraEXAXkzuDhhGa4
zGJDXwTkenbJUOk3HvDazciyt2Bs26PsyTjifxuzCqeLDHlCzW7Q4iFqQauwre93iXxZiulDo99H
ZXb9KOyAuBCHEAOZRRtm2NxFLr4kMZhpBAvabTx3/d5jVzeFMc8jukluLlMlTBaekhf91SteRjsK
L2XdYYsLSmxYOPBctm6YAC+InHrRoiW6MkzBs31+brvz41oepX1/M7TCPkGDx5u3csltz4+aFEbV
cUi1cOGHvnFsIgyX/4K78hf5vPrGDQYI0eR9thvTRdtYxeO88JSlzY6S+0DpHTFqoqG4jX40SNo5
nnk+fmJyoJbWYvJQDskjYU/91mzUdysiG6IqtnmVRwoMu0VJPWjLAz1yFjIY4PCTUwI5y56A8bmq
jFo7mqMgndGZr1YSDHt9zGF3zFv8qnPXeZx87izW2JKwkWIQM4tiHiRX4161mstZNqrx63zI2VXP
5I6Pgb7LH0fH+v0EioX3a+iV3i8xjd5HeVKm7L3NdlXrKSAdqQ8JHGkzxPCSkGauq1VmF88KnkcP
9kxPPY2zkS7vevZQQ5iTPQ+E9AHERbv0W2/EvJ6UPK5S3a0rs1NQGOxrkYk5s00BPTl3OwtYUNgk
K2HgfQCnkNrt3PhmiKOkqI9tqUYnvtH5PZ7z69gixh4sP+bK0dpDETCr7dMCKcYi1w/3xQJU22sb
DivZk00XJgOkvWlAKTG4fhTIfO44iPk2/pkifbEuZqpZNjfySKd0zzd5pqelk+EsKqTh7nPsGskt
a9SMtfRqGABZG6gGX2UvBaq2tpWq2bixZT4F3ihOdW+9y8Fo9nZoEyROqfquofIGe+6o/Rm5C38T
lpW+kN3UtFYpIDUwz0GwAl2DpoeSwgIpO/E4OIbxcI8lEfQwg7JsZrT9zoibZpMBxbmUJppzntNb
r7k3KPvJn6yl7FalzRR0uDYTuh6vvTKYyxYm5EEY1L7drkE0vCyXheNQwZkXCnK1UI/pz5istcmq
m5zn6Wq1JZsSHYDftrDsHBJu9qEJ00sAzG9h1rpA02z+87Uubza1iBDFmP9+PYygfBW6f7KqhgX3
r38J0dyV5gKWup+Wg0tcBI4QWzlHNvdLBajhBiOP+1noRjawlO2ZVj+sqYr+jLUtd8ZJtRSqRn/H
qtH6qg/CO8izZFw19I0AsXKRodYc/Ftk7NASU1mwR+4SOJrNB/slEEm4du2yPgboFTzgCzkufCuj
dinQ/cd74GVC4303RgE1IdeeyM4GV1Prf29ciztME8asDf8RDwonuOaGsuuRkDzKwQaB6WPUUAqd
sZxmFwG8Mvkn2X5azkprA/9iqkcV5J+7rdocIimuHysk3GrMPCZ+YXVo4iqap94BZyQkNswEJ27Z
d0sh7keIi33XYvTidTSiDqaPemXqiquHRci1N7USO8XsWGPPnS7aIDYOXYuk8iLLHP2QNqN+MDLU
j8Kq8xayC6XZAQI1j/x2WPyaLq/xL5dLmibZ4eaGBF6tGy9pZ93iKNWuyDYmCRTi1tgXfpuiblDC
2ZpAtuxHo0XS2kl+xrp+9LylHE5nUWZ5hDbJcOw9HTSePATtDSFcd3ayJxs5735t2b8fqlCCNhgq
jQt2T1CLWvAzVT2w8agCC/59YT56Z2F6/QV66Uk0InwLy2UZKOona2iic+QmlBdl2ErbdTmS8pNd
f0ge/WAab1VudkczsU9mZQw3M8rNRY9Xw3d16GC5lvYXvzBDiDtWdoFi7x7hvNbrgvzHw9Boe8uq
yq2o+V5OUO4fKXT4j4OPMk0ST/U2QUyRZXlnX6uIpJYctXU1fjAr7ri/TiALa++LGimk+wloTWXr
QcHKV54h0gk4Z3ytYWlDpU20c57lEc49vbONXUt9aK2JErZleW9pPD6ONvLidhNbK7zm1JNlmFO7
yALje4L8ALmU6e+YHJaNM0+UR6NpfW8pqG0+Qr9dRR7KK3zMq9unKqKUJ8pkZBEh2zYWBgnV+KuL
/N75HtObYRjmxEl0HoxFgXXM+R6CsF6fI8qryxipZSTKc4cMD42QVkRCwaQosmZ13jnoIjW4psj6
42NKezcu+pgjh7T5RHkJkJo/UL8iETlDfHun/BwGXb3rtRjBXBnzgiS4GLWDEoUzWFimUFRdlJGG
IXqYd1ReCtA7IP/WdQ8CyR8ozJXT2DzFhaMt2b56L3i+ALwdAXqOQR0vzDHvvyhd9wwZbfiOYdwO
KZpw43StuaIqEJ3ZztT9wkqzcYOIbb74Leh3QQNueZ4VZFgTIm/mLo3Z/XOlTiI81wVvoTzy9aRl
oyqSzb8dtpPq3FRZspeT00pdllOZHbGTTZsVNEr/1CrfokRD2SByWtaJWJRuJhe3PtlFHgjDkY4N
xrpRbaiVbkbhrBjHi2iREHQD1DEA5QULGZOjH83UBRhq6xQWCrvaoeva40mbzh8sX04KVeGT12Ls
wa3e+gZSbyFyX/kRTPoXrx7UV53f15qnNqauUffzpFwfN3gArf+Lr/NabltZ1vAToQppEG6ZsyQq
Wb5B2cs2cs54+vNhqGV6++xzfIHC9DRASSbBme4/+CgOvNQeP5mqh1+yIFb2Pa5jq2YeNlmugktR
KIfPwwi18RhfgtcSXb9zhzfrAk0t7SUznenShgDQ55EOuf7lJE/lQR2yq2ht7ZLbqNbw9rx21ugs
FCUwlrTGYhV5YxaPSGOyBzHSEr/Q3gkhQZrjNyeLTnz2uq/RYIMKqXznaWwE8n0tZn2tU0ynuvmO
gYhD31gd3kz2YGvsXt2NTo2HYW8vgRPqezmbDjDx0Qbxz3IWmy8A9K39KCf74g0B++zV0z33oDaI
HlBKCk+erdF74S8SnvwpDk91N1W0UrA3jkzEdp5k0MU5p17kAmxW7W0nqJcdcNujOavly7M/hoOR
l4s/xnOiHObz0x0hARcKSft2v+yv3AKr0TotLj6yICoLwJfWRlgnDZtrVuvtF7DWka0kH4Byxj2+
Ft5KDuskBOhptWj0Flny5Ffiq4xnKHzDm+idnZGn5Yp9GsZsyK4vh9jorwbUpHWcND6NPpVtm9cn
Bz0M0pM72TzSQpV+W2V0kJKC4tUxM0S5bdu7BhotjK79VdtacfVnM7gGO/tl6zfVzpwxL7lr1gcT
XcWF9JGTMfJRPy2uE3bkZ1toj3zV5lTtIDP5Tq49TaWrPonJN5dVjNGpHMqJYtYCsf3M35exOYVL
r9Xfq2TqjjJFHtrG39qDVlzuoeIdt47m6XaH2tcvlqqubR47O3RuKD7hMHYa62T93z6Mox3Xa6MP
BvQw+eTKTylVaX/ve+Jd6Fiv1HTxF91gw5eVb/CiM39gYhXE9BDpKJbnoRuMc4zF5KqZLHzO3gtu
9V3OT0pdnqMo/wlWx4zPJnR4+TFCUsDZRVai0kS1NaDzuC+ovfchJxELqZ9L51V+xGQksYoT6j8v
pt101wjE7CJvaucNC3MXbVPFfkPiAEtEb7DfBleftQCsnp5I7zWLRo+hJZToBE62N61Sdag3oV/Y
V98R+jXcT55qX4f54NFg38Q6fgy3fLvP12nsOQ8yXZSsGV3EopcyWV5mjN4VFfUQyhc3jKB3H9qO
TWmA0SG65PuoL4DCBZ4w9gAFU0pLciz8fm/iLfHQRM65COjq9yFfb4sw85MHx/ZBOodBvm17LXmQ
MXlgWTSuYmPq2UiSJw8GX58PyE2W27Ril36PZYP2HSaIsVMqQB7nWUXxEki8xwwG6a1Em+ks7hpy
drJUf8fuKaY1XAsKb3uZKzPkpK7xSYXDx+qyAQJws7lQKJ6sbdqW4V46iMpD0GEjKn1D5RBOAfYW
Gabzbhhc0cLptrpnGseQ7U61ifTOwLmi8sC2zqelPA37cUILs/h2G7pG0a2hskC7i6lErkq9wUGn
8feB3SA6YfZ8BnW4F+cRRteZ5hhdMbWlKz4P7xNBGdanzrbOZlIk9Sn2ULAEMDcF2ksehfVW84SG
Q0einq3ens5jHViH3FE3BuXbcSHkUc7oSeNss077rk7ZvMewWN7ixso1lsdP6ltBuLxddEvAiVw9
e4YxYo6Ck80teEu43Q9UWmWaqLGgUkirzslOsoUoz2Tb8T68x3zoFAf+SLf2o4zrVkdTbr7+nvbX
pZD6+I8PMSK958kU+TptFga7ogWjHST0MOgBxz/j5J0GpfmrcdPXgZrul16r/BUtpQxmB94p4/CP
7UHYmGUW+1lT0egtCtKzK25h+NWm8VWxkbOVImz6ImOFbEpwNcyy34ahmHaTY2rPnln+oviU/WO2
7YtIcFKjPdRv6SGBO/mPhEbrX/AIaXYq2IRlbarW2YEtPyRs++hBjsODnaXKQaA2MzjO8CBD03ym
xD5dCKVO/kxOQIFuYqcDtzxfez/4GuBM4YbGKkexA8Vrs4mXI2qRm3uOPEtma+8Y35KdP1WptZCv
WuF0LJQpO8qU2w+nR9hMdOgl3G+QqKV1jln5y9Dtevnjp7n1R5q8ZZDw4/NkTW7JeQa0lRJR+b30
s0uNROKJN8A1DNXoOphKdG35W29iBU2AWGdltaw8KmBth+L3bZxEJoa3FMlk9n/eQN7FncZj1Hn2
NtWbYzUJ43I/GGPL3zdDaLn0Q9Sv51kZk2dWTKlhCOvbVfe4nMTcQF3U81UeToi3e+KtxicwsVqe
pEb3kNvmo/Ct8rUW9A/Y6Gz1vClfhTWI58D4KafseT5wgNgr3YucZnextqciu8opW2nONKai243a
IP2K4BSyJvNlRjTxxGmhbMhbaRrmNUk9DAd5nxCDBTiDlbKTs50YxarKtWELLmGJGuNS0r+1LilY
PbvZQRKtsQL/HMrZdhBnF8Wp4zA/zuXBg6Z68vViWyOX8tDOBxmXw2jadzGMtXt6Y5XpgzD0s9+V
1uGvdMVHpW7ShLGVF5hVr12idF00YXQBFK3shzE/N14T4j1OSJ4ZnijVRSGOLBrYBcyTVmKGl7Fp
K5Ualv2GvpnY3dLMecbIKPubqr5ToHP0GBEjAq8MN/JI0zjuOgkw5ZFcEjnhqhFr+rrcyJAt7R/n
S6dQATg82z+G+Jacsjrf1o2pnqYaEQ6lYhHSzsPBbNVTE4baqSmNRVAN4c210ITaqEX++EJJuXrs
HOc9wR/0HVhQu6sHB8/3eaigo7vURxC8ehob7wEySP/XRYqpI0CVKEimRe0GAuZWaewEnHTJaics
be2hMXt7kTe0hKqgt08sYiJgCE7w3e7LVV/11hfLc8yNzU5i5/tl9Frl05NMkFeiIU0zqUX/puvZ
bIVjkF/koecxubQi6mByyFaDJpcYHfSFwgK0tgTTaWBDb+kKNXTXiRZT4OIfUEEbn24YPPhYlYKZ
E5z8ha2ALJWQHCqbdLi0bC/Kyt/LdrYM3TPkBVZTf14gh848vCfL2ftQXiuV8/56MTn0jLJZpX0F
fgHOEiugobvgZBxeUy1/H6jRfWhN769R1xV70NnNF8d6lGEzcP1VpTe7xIbCtshc/VeXQ4PQ5uK5
LJm7LKnZf7KfmgvoCkhrHkOwFhRvqc+NerW0lT+G+u+hmBowhWXEWnZORkHZuaiBKrpri/POkpph
+tgrG26rPiD6bjtQ6NPLKFlTk+LyyFjwPdbvWeFbiwb6+YanLP0bb4YEA0NXT96oLSGOaxcZkmeO
nNQdRGj63oBTyaylzXhheUoNnQqaOP8RonRvrKMKQTJ5rUxTjBlIzLPx4Bd+cJS3L9vBOSDxX+7K
vgBG2cBZSMfh5n6EXuOuNxXQoiOmSbOprTy0hbHJu1A5StUwqTMm464Pw6xRrJwOJNpjtZQhQy2+
27PBfPsjJk+TSAd0m4lj989NrwYh72ldtwo2cVKvRkMQqQtrPq9SsEZURb+NUldBvDTOVMQGc+qD
GY/aoPWMx4Dy4rmvXI33up196/PkEftO7cVulfBA4RKPgDkeFii9Wb3/gTcMt5vwoUExWnyhzbYA
xEeC4f6jWCUS7j64lqye0C4uvmPp6B1kCN5Ds+4DJ3xQsnipWWn/mlrIOtn4di/yInXfgyGNYY5N
5UYOTXNoFsJFcn0ESfyug3CcsxBeVE9ZgkKLHGrTgMjWWM/AS2bjSX8fWS4vh1BxwX0A8xRBmZ6D
JLP7Rdln9I1o7smJW6yvJ2uufbjI19RZCQYqd1aBqojPoEy9Hxwkaiy/OskI6J7gJNofVpYOZ3M+
VDPV3+wQHIxMI9pWOWwtGbsfZJ41p/imR8p8xe2y3ze43e/3Xe53/uuFqi7/8y61k/GgcUN3HRYF
tA1sKmfKVu2vC8xamgXOkxcLYNXZiFOf7ZMpNvrEZ6GOGkQ6tfAsYTNAE3ioKY1zcOzMeIEIe060
0V59fggdJ7NXfTe92WnefihFGS8jOAPPYTM2a8efmks3Gf1uqtP4gMBze6rtSdsEbp4+BbaDXkRU
fXP4BMbnLsDtKstgYt+4jVjcBBs9jgHDWlM5rT3N1s9Z7NcLLfdh/fVu+jJqo3a1gmB2Yrdq3Izc
b601AFZyBrYbrYsBUSesraJpBb8WHUyUubXowagcPoiTtdZBDz/cD9o86bAZn1S7P8m4DMkze1S2
ruuuUEhcCIxG38IafFmuxRTS5qHST9V+xJwQJHvhv/tGgdIGlB9APcwiFAtE4Rm32+iHJYqz0dji
XbU6ba17XXvswT9ceKDZyzpUuu9e+qWMve7BSarghq2SACuQIOG2jyGJyiHWPx/ZUL6XiNEeWq9+
MWfl72jmiwTz4XdchuRkZRYCnlDEc7bRY/vR75YSXTHZMDoHXVXh+hRAC1senXCoZbhsmhmcaYRf
p/KWXZUez4EaHT5A7QorVb3d62wHziiiCuzuzeh5QJp8qeq+8UGl4HlorelLarc/W8D1T02Fz5Ex
TtMpTUL/0Jn4ZwIfyCBswOtKyqrEDw4ANaJQ6UeuO+98JoKL3mvlgm0hv5w71Q9NMTynYZ0e0MBA
4fz3EAcc5OB7W9tl3uwv1ujBJenC6oh3QUC9NWyedNyFK0rKH1ZfnlOzLJ9RNB4vY8sXs4yPKaKK
oKzKwy1tEdeV96Ur/fbgBiG68FqZr8xJ17dqFSc7WJTo3s7LGw8xVaomhnmUw7ExqI0P/quvBQog
U/erDA/CiW8XuY3wtu3YhCu9G4pprUcDXDOviJB1C+NrHp4jM8+f5AAp2fIolP57gO8L1lNmb6xp
MZbL1uxPZlMoX5u6Oig69lqwJDZx6jTfFbtCTj13W9RfQpRDGjs/8V1ZHXUNH8UKjvKVEkkKLZfL
+Yo5VJEX/5q/yZWvd3BJGuMk2bbfJGpknBni/0ZuGu/x5zzgtR4LAbM7DEaA1qYtHuUyG8cz8YDe
5qNcg8u5eSTn0nmuIJPy5KHUcK9Ko1kPZsbCDtps0C2Ua2kk1lMxpg+hCw5OUBZf+kMbbgKUGPfU
frwXlvmPwZRO31LPLJa6xpupHlhSQNSnyDNPDPr40ibUHNfg+ONX3rzdhvKmefDwcb5onhOuKlzq
4VUIdy0/KwEMnshtzLMf0gleBBlIESz8rFWuFvZ7jquC9Adwozzc6DkGa0ps/BG3wPvc4r/znSKj
NZQ35o6dQXegLEfvZFZODYQ3rBEM0LbhPCzDvllYldeciyjqKOLm6QZEWXpU6t5eZVRqvlWz4XYY
xB9A4IPtGDTFrs4j8cYeYycTEk9ddnyOC95TtFjBBA/YCENNyb7KtR2K7fTIpzg6lF7mvis9De+g
0D4U1F8hZWflZjTVra/1HizhYvziZC1/v0B9GmIvgqY9veeBMX5RCsvYKLkebGUWcJhHqPY7q5qy
kzyYEn7996kcpwUrz5BG7mQ2CmXtaXrwMHFBn9A1HnEbi1ZJY1prZVYMkAeeSahNpBrewL9jItOn
LVYl1aLNrGg4BxGkStt9EUXnLxCmy180YMTbEPzxvnVd/UmfcKaBg49SpjkzGMEZAxSGGimiYG3y
aV2kCIWc7ofCi9vbkIK/ehirdikn7/EOJnLz92WAn6JN5iLgLLNrMyPnfs39/qnw8yWk16+6otUr
pfP8D7whcWvRiwF2m109a352lvHRMpRNg1quEJ2/6oM0fazCIX1EGFK/gEBFy5ZQVKQC3pYdFStq
q9W6mVPkTKYYIwJAWzng3WMsRqsd0d3UxZbttrYW837LzlETg0Sb0YRo7JfcT468DbDom7/Ighz5
KSt9U+LIQ9yne6zmbzvkjgrsKFAYteYkVWt/+Yj1Da+92vI/Q2HnVOyUuYUJZAQBbEd2OPNpDvP2
o7PZgdqW639FxLu+c2eIRxUfixw/iVgYNGY7NT7KCXl2P8iY8GpsgGVQIDi5Q/oAtMow9AkMGZBS
boRyiIbW8jkpLR1mR60rsM71Kj4NQkdVE2DWLjT7bGuNpv/m1tZTCjvnH7UII1YXavIcCt/ZUcdt
UcU0K7765l/UHivtOAnbX1aiVd7ayUi29QgTRs56OBBQ/AIZ1jXeQySA01U1CwTwBTaWmljr0FgE
Post70oOWe5qZ1YOX+QomrkD9VjVW0ep2JaULioXfXxEzUucZUiegZUR59yJ8bNTEGVvA/D4KKLo
Akrsv4mmnmWL0AqB0P2O3S+GyOmvAmCAS/SpBpcP/L/ClFKdUgUjd9OplEPK6OHea7J3K20B3sTp
P8jtUKlx1PIKNKffqw2g6YSi1JtJBvpewQcwTspnUIaefcGK7n4WBdpnLPh9JmejBs8zXFpa6dmC
jYsNZz4CQSl333Tu/RXy8+lKvqnkW8iD3HwIYLv9EZrfWvK9dsuYh7fZf3Nl/H6B4qTaiao3EjSm
eQbwah9hUeMpUcGuUFipbXh6I2Mb1HNHU+mdRVf0mFQ0abWn7t2f5aGbGTvybJjoNSJ/W6zoojon
dW6ZN1XMgz0XdN11i/81b3J/Uq4GXSWnIdPTYR/1/jQZ59psjGTRsnA+pGA+DrdxFkafYxlsYoUk
eWoG0O0Csz7K0f+d98d1vMG5WTYAmSwaugZFVWzb0v6GfYtxSkVinORZmYg/h6hJGSfU7rAzh4++
uuf1ZeXhxPz7OpkYt+lrJEp3e483hj1s+yL6mhqiPBeiK9lXRBVnwzXwNG0nQ3KybNVqWMhTHVOR
1TSpyPnPyTLWjT7To1MbO09LPnqE/tGrS/WDbYn6arKSeJjsHh3WBDh8QYOjnVe3Jg/HGnVVudIQ
5XQu6f9fqdRq18BKUGqqxq3dp9XamhVBg9KNeXTBDgNLM1TbWCvfwGl2e5HV7cGmtenW/Qk5COXk
44N1olhnAv6zM2jtubfrqODuk3kE+cdgAfk7Ua3Fd28a6+3fl8lsQ0CloH/J8tIYRAVVm++yhbza
cdCWnerWXMor5Uu5YeSy5ZNJPnWVtYKO8aLUir0Xa851ss32nAOaWmQdethJxf6W+k3TLiq/mU73
A5j8EDIJD+rP6BRW7f/KikS617UIKYnfV1OG/LwiGmLuK8dDPPwq29ba/JV3S5FBmed2GN17qauv
ZEy++v2G97xRU/11UALd8YFT6Omj2gwVSpZO9ZhmJT6jOSs4GaNfUj3S2QV8XZf02km7H1wH9oyZ
DMbuHkNbxNuBH0kXMlaLClliAyuL2ZesjoxPhzI5/G8xvGrtvQBxJ3NFll4FAmR6GWsLvCmVB1/L
8rNeByYmPd30DZvcAzRThJY0wMoqznYsPzvjA8HvxVysWfcIIJ/7sX6GCFe9VF5k7cumFBArm+mb
+wi8rf4WZbWyLrtgZAvmmBA+fvianv+AAN0rnvXDVfmWpwmUXmutaECdAF9hz1Ow9aPuFvpT/yVW
1JcMnPEvQ/+gBuT/VPsM/ltnPt8sHIB1nTT039AmCIPNVOvFN8DCaB9M30YRmutCRJRl06wrV1No
hEvfMfaO6sVUGJxp0cN4DpBW4FOTa9qEHHRprVMUwnd5gK8V0v7eh5KnF17A/NVH9lK38u4fB6kQ
3vmTfcAe5ZuU38t935vVL4LdrUAgxyAYQbPMwnxSIOmWU6jfMdWMlrGqnK2q0XeykC3L1/JQR4G3
BSTzs80AhzcLzwns9W31kSJwjN57l5/p4Xwe0CvytxpL5cVfE3hiRTvH0cNlb3dlg3HkbkwcPJT7
UT3Js3TSAXHRzljOShFmEYZf+l6Mq7zA9LUZ7eGLMj+NhPgZRX11kqysctwYtePfWFmB2JhG59/4
Wsw4QRG8yuKpB5/yzxndHJAyMvJqr7sw5vIuOnf8cZ9bt69mwIAFF4FN+tJktkm0YoevmrUZars9
tkPcHbdWNn6e3oMwS7rbtIxtdZBLjz5MxYUzE/T0JPwVoRxw7assO4KdR6hu3mw5KB2IMI4+mrYL
toCE837vD72xD/RKP0xJ/nkmY0in6Ae8nYy9PPsrD6GhP2fzUXu16q4Enxk3RyTmWa7crXX/ctpN
QfdT08KRC/HUb6M3Bu+iD4cT/JAY2O4wfgnbHKBWZLQHanzjl87GW9thKR+Ig6zFyhJr5mXZJYKw
+Lt0K8NyKGb8pKU2+lZPsTGthx6XDH3qj2BN02U07+YK/m0gVtubesiK9yif/ytiKCJmVDw6fhOt
VGiPO92MH3Eiqk7yEE4+e0BqQHwQs4DnXc7uBBZDgOpGkz45U5A+9VEQb3w3j1ZyKCfsJAfXOFn5
EpKB5S8nqmq7EQzW4ja2TDQlgNH5C5mOPU6KvYKpHcO0eJa3kYfW0+rzaMT7+52HBoS24flLFFE+
fwBv/ikWMuV2dz9HhtjUsgcZk4lR5/MwSD6iVly6QXxMvU9rz5nQHBypW5hT8WrY03BtRLpSZf+Q
lfkLuyY5pc3ZbcJetwiSZxnyVbixjmE9ypHrBm/plGoXmRlmGBvqUaTdbqxkHQ4AQWUdZG4c0qhA
0zbeyxfSSzR8AXNMSLvwKmnSu+tRtNlG/ohDZ2Xbupv3hPPPOKiNQY8b3Lq8dqpg+Q/4syzlbB0l
WA2DG1nIa7VOB3/NLytvrP3HLwsM7vbLygvF/MvSbJeJMjL/siVVRVqo9D/KDrVRFa3FqRXqh+rb
1SaLCpQi+kz7iODVDmZmvVOcjw+5UfDrzHHKiF8VZWjWet9mKykKbqcWFiJV9CxLMGZg30ZBrpQX
B/kXVHc0GOwDMHVEe1YJlJtTCBHvJCd8TWWJ0KE22Rn6AzU6tBHTx9LossfMTsxNURf/yIrj4JZY
+SJZsZMVlFxJRsFakL2HDE5SfOaeOdWzVNLvemU069/YyL0ttKE/DNjJARxp7KfIN43HHoe/eTDG
SA7pYySOIO7fojkk4zEM9q2nABGQQ1qjsJUGtG6iZx67/S89GX/w+bXemg54Sq/n6CHkfrh3k8La
gUkK4Mx0yU7PavrLpXgbVF+hmM9a9jb0S7ETozH7hRviDVp3v6ZMj3XlnOwUPFDQ4C3XWdbWK6/T
/HU9c1FVT+yD0hpeWyssDx39j3vc7Jrh1WirEj+/P/Pv8TQpUdmZyavzfXyv1658X5Usc+xf6SiS
o6dnrJbjvtyEY0ntOMhbfd1qcXNAY7I+aEM1JQvNKDt9LRS7Ptjz4RadZFQGZK7pOL9zZUBO3e4o
T28Jckq+AsiOMaGvyR1DPVdxyptPb1ldmUbVTr7k7dVuAXldVTXQnVoqfch1R0ut7eptiGCgwg7S
CjbIICvLEbW6xwCZlce8RPmST+b3WKYMOVCISXtpK3eTjVO6j0dUMjYSxRQjT1Qs5CmMPU49zGUU
NF/3ko7ixq4P2QN3eklJ6ePSP1eFAWLvPmPVrOdpQqTaLrTSSzOV6bH7fWjHID1iW/gZwxE4X9UF
Pogy5Z7stomA2uthJ4WGgWhN9b21pwXijPaHrxfdNvNKb+Nrlv0xje1KdQbtzRgQBVViZ1j1rWd9
AHv8qKGXP42IjF8mL09ZS7cKiKpm1ndloVyliAveD+aofQ4tTcVT5j6WOXlFpVebtO04gZ5eydlb
opz2WXvtQiM5SLnSEPDW1rDG15vC6V3XFI2VnEVdhylcFCMElIGrHdj0BoXQHlzwkA8CW1K+XtNd
Gk+GtZCxoHb0rWnEA/Ql8uQh8nx7LkU8Rqyy0DakV7Pi/YTIkYMBXVOVs0pM2BirwUrzs2rX1y4H
+unaBkqAdtJuxySy3lAvONo8mL5HReyx0ET1EX4aP8BIGX2KvWKreia2kMoExVlXLZ1fPMAztKki
dSvHmuG4y7JxKBdn6ttQd/BwZzdE9IEhFlg5nfspqM8mYMadjMmDTPGMLAEI0bdLihM4teI3+sij
btMHbVrRLg7e3H6bmir7WryTz1he1sNCnpp+se2zsTmMjoM9mYwhtw3cQ8umpeHjXiFj8kCDOOxW
qMXyHxR6TzJPTvxxQzme75pSoF1R9MRC5D+xGn8NI9S81ii9tXx/AOeQsxLTcR/eFsrzXWRyUdLP
nVg9lukmEECm8Dzx6LHlhjstKDiPyzDxlBXYcIRdvfrzIIf+iMptNWbTtsB6VyzyNLIuk4kej19j
49M7q6LQpmXH1gcFD2sITnWG8MA8iqxiWAwT+BXK9f0KTkj9hi5BvBi53Y/a9RaOMKH/6kV85MmQ
f9N7vvHtVK/RAdfVFUYv9WmcDzld8XRlDh6aC6rxiM/9KN4row83qOblCEb8m+gnSWOdURmsVjGG
BctR9cf2WnRRcxqyTll0tWFjLiJU8d7E0a/WtRCXna/GVn5kf2Wn2mrQknEj2MuMVP+KtRHrX3NA
qct2UJWlMWbFScyHLuniWdUoTIDCynPXdIZdnLmfUzJVDz0QUHP+LfM+NtRiz3dmtL/fUk7e8m53
l1N2Gmm3F//j4vmO96E888LhM2YN8bhT8BL744Z/v/ztRxb8EP4sc36/l3zN28vLoNuV0ULDZWuD
n1mxlErRqo8gsGWm5VOg9uPZCdLPCbDvnxOOX27Q8LAuupuxZjfbixt4CB8UpdefHDjSUx1FD3YY
rkJ09U+KYX6pVMUtZmO7LwH6Q6dw6LvnjL/6tjBNj1aI0z2Hmacfxo4v3VJJV3HOvlniIDsv/tIP
vYKRX1+/eflBRqfRoYLDlrDViqOnOPbF91374mRhh3hSH38v6s7euS0UQjkhU/QMGa/SSoyFJ/Pu
1/XNrx53o/M9V15azhgNN+2y9e3GcnosVFhnvGxQdZazkrH631eUo0hAI1F7ke87zCN2hYb7Q2la
wbMw2uA51uxT7hj4HM8jvwOXSNsWi/t5KA9FjXL674z7PeSkvNF/ucf/+yryHvdXATK81DpxDMvM
XUjZtqQX/m2YZ+NzxoJs7Sbdi1Fp7aOTlZ+HvIqvCWLNRxmSk3XuIbPnUh4QWTgjy90kenCbX3JS
+335OCVI4WMmspUxOZvy4eXdSSdA3u6eLAxno7BhOt9vEhcsos3O8ZCB/fenidBmPGlKudOqpD86
Xt6xy2kL96p4Snv0oqI7YqXe3c5kDDR4d7zPyjM/CjD/KB1Un5UAMIoTWDu4pvBn54M8k4cYtbjb
sPFSZyd0eCm5v01LK9yZ8AFS7MN9pJ0bYzzcxvJUBm9jAxtncF8oHddi06BpsBxodj8ikfHvweq+
ZWOAZpDZBTwuPfyQ+sHH4c6LsnUgEMyzRq9cl0hp72w8OIH6gIfpJDRGnurtD8TuAEpKYIwMKS7g
GnkAXBdvhi7qFzmONM0q09IRhT4NjYzgaunD8CLrF1RjzT8HWgrHRNVFeLZi7d1N9GoVGAi2e0Vp
UIxRPw9h7xmwzhwWF+iurkdkXgoHKqbfuTx5MRD2L1UPftoIUizobC/RVqlt+ReoQNlWbWronEWB
jUUOay/u+/BBNXgnybOghNktQCah1cSEiOzwwZ4PuYsJYNXq5kIO7xPQaUfezt7uHrIs5aIFRnDW
oxjmLOYKO3BB5lUTvnhw0DcJZve1cfZbc90iWQ8xO7w/YsCMQwU4YsxxPyQK/thd3R/10b3IUeRb
Pp7DJR3+8EEz+Y/lZ/Uex/lgTdNLNk3FURHNZwgpm2hZQFjeygw5URUUrG1BTVzGvFlQCKGeJynI
dhNoQwgOnf4syZbsx2J/JafcjmVYxa0mh934OaogkbZZuhLg7/2kPN7CVd3nwADVd3wM2/XUYTYB
hUS8NSpM4jilN+F0mngz+/QF3FHyKCez7jy2gXgFBug8maF7EAJpZQGvcG97rOB6p77yPd1cg7RS
No5dKEsZK1R8ji0PIUn0drxjlXf/HuJhws6DXl3cmtF6skprmXYFXiMgS17Y80UHA1netjlP8OH6
VRaaH02S+7sox6olN4s424Jy9ti4hsPazMP2PGkIftARd8BD+RbOiXPmLWhjn4uKhPYyJmy42alc
nMFuLpXdCbR1ROGuct4hSxlUi75F3sM2tYXZ8UsmNm8u3Np/qq2OaDqI2uek+xlqeQhshEOIzJeo
HO0qQ62vPrmaHVFKZs4ZUWNTAs073vJrC1MkdJL3cradIDZRaMbUSbGDV8uJ4aL4NENlcoEgwt5y
cBeRs45XqqcOF++FHEZh5DzkVXWWuQpSIM/0dBHAyPslkidL2rLaVb4KVoQIVynRqoipX7ta0B27
LNLwTM+t99zLzn4A5kkJyu9Qr5WXyGnDrYjHce+EcDK1EUERmTEFHzS1u+9pHDhLy9aBZlrln/eq
0vRcl8h58VWAGa+Xatci9H9SP2iPYh7VVQeYLS+feqxa02VbmvkqFBH4hDhtDyF/F0Bnmfu1yfNN
ZxvZD62sV3nQ2j6cUW9dpV7/DzLgGbxjr3pDeIB6Nr/iY52a7RYCs7bSqtbGDkM9p1ljPBoop79V
Vbduusq6ypERPpgNyprwpeyXKXpRsZ57i/RYuwKZXcsUdejHR8hGFzkqohCN6yT6Jkeo5YjTOLtC
yKGXQ4gUmq3chnbCYsVtU7GUs46Zx7uoR4xMn1+lzfiPTovKXGdOl6z9KIHX4UwsPwev3ATz2x5g
RQD0B0iJhs/wCxbc6bOLVUGbziqD/byHmzfffjn/zh7CQIVv7RPh+EjUttGa6rX+CpZ7VQ6Nwgo9
D2iJlgBRrKxEI9Dh21uiyWFtG+usnovE6kwIUjX1R5gcHEfTfqKEhCPkkDgvRWOHSOsoJsYtxv8w
dl5LbutaGn4iVjGHW+XQ6ux22zcsR+YMxqefD5C95e1zZmpuUMQCSEktNQms9QcbLwmoEnqlF2+U
b76Wc27+8ID2BpmbfCM/H63xgI2eoUSb+9Smbtf7Zv7Ad4frhG12n1A05hKReHFanMRdsqVoAI/9
owMG+3HGI3rFWnP4ZDTZuNEEFAZjWJyPRflThSc37w+pboL8kbMGoT1kXl68tH7mXWpAN9ezQUe1
6zqXwLWkt16FiZq8nN/MCyvEZkLTRHYnNrOurWWYZfB3mZYQB2gZN3uQK/hiRuCYNJJYYGhsHxIo
wBxv1WlG/GCUhTigxB1fu9UyItqud1aHP9VRzVCN5+Qlqg52+LFsRnEdQIstQeuGi9hRmG/0Gqf1
67zbldMS1i8qXAPyhLG4XfSPeXYWv98uentJddHB071NNNniaJLHWFlmHz8HjvFVKaB2aTCttRr3
5wSDtOeit78OWCt+VvG8tbv1ME7wFP/Bjvdx3FBNTTsUs37jyUnnuPd9dXUbILcI6nyhfr9LjRb5
EjntNtdyAtI9ISazuuM5YtgZQWHyv2g1/aorEdpfXY8jvE72ZmS/wwid7yzZmCklreucBPTpGZsz
BW1QjZZKc051SI1g+nU4qkPrH2REiduOART82CYRkqG9MQJKk16ePffyADE7IBTXc/6+aEQmMfV8
cdDqAmDX9eVSxDcQ+1Uv/ccbuIb7vHpw5nDc/8cF/37x2/u7nqn6pTF/zIPe2Kl3oprr+72eLd+p
l7rPFTIzp9zPcGouZywyJiNYkSkRj6NZw5GPO30P70s8qlg7emgb5cikmBgJNltkzOAIajW20pyh
5uXNPG1ZnBZkVuW1RvTA7oH8AN5qnQZYF/cGGDXkcpO92TgxoquTUT1MgaWvKxzDtrXXVA+FjKkB
U0w2eg6sC9WAatSA0KJ0hx5SvRbIWTorNdKm4MK0mrL1baI6irIe6cSg+fxXHFHc6pyF4xkB+/TX
RVLPauFwk9uV70KdoBo0Ke/0QuDdUrrNoWxE8BFd6E3jm9rn0RdArjw9PuGjln2IdJ9NFnFzSYsN
qM3w3Ov++Dw4/ReIDdrnctEQRU+5yeoaRKip8fuVGshM3JZ4s/UjvErvAvQQAoo8I9Srz4PZm2A3
PedcFFq1UXEkF++A0jUfhkIgXut1/Va9suPpa9+z0/ckj8rDMlvODv93//O4UcNW3Jo79UEiln3q
g6i4wfe0tdvgjw+iPqAwql8fpDP14FzatmsfulaUG22h1HdrYrBel8U/R51zSYJgdwOuG2OVzSvV
t83BOLGe3ynQu1GAw1yQfVzlE+o5xdD98KZRnPzEa59C2WSEgn9Cjj60T6IcflhLwHreyG0SAm0H
3bsXp1hqB/t2j/bHaHzDhzZ+USENBN2q0ihNzG7VHabJmreWi/aMPQXxyhzj8EePg8tiRz8mHJ01
nlhGU0QvvmgMlAL7+jjn3fzYpBW5BjR8v+nzx5R6EYBCEMRuM/+a2uPgHqbkfVQpeIHY+0dlGLOq
eK9piIVsymIZ1t7ienuS3+Mlb/v3xaaGEuKC4ZzS311n0FPKeBjT3LUG6BtFnfXK9FhV/nBSPNv0
RraNdK/asQ8xViqoJquj20R5bosiMiV23nc2VxMeZlkk5g0CVsZWpTWbuknvjap7clWSszWSg3B1
0F516m9MsNPsUcb5vQyDjWWK+gP8fQ/SB2xfFe886BN4yKCWJbR5RSk62yaeeIcOgRi2NXYQmY3y
PsCkXK3n4cU6KN8KsbIDVCodWI/rPNWcdD2Ndb/2ZkSinUgLnwSSAU9CzM8aOUGQKkv4VGdjfNd3
4xdMBGHdl/mwa0dh7FR3XjB0nzs9vlNdFK/3WYEEuL+UGU6GUb4y7bBFV9UBW+1YK2327ac6cNLn
poP7MOT6zxEI8SaqEesxHBB/O6fzEcC4Hnvq+BoRSHSjT0QDaX1lRZnHM4Jerc2Du1aHjS9wfO5T
EZ9Tf2w9JCSZ0McajQyq7nXSoFc/e6SUt2r0+jrX11QzVfTP91CqVymD8ovdW/oOhmB5SML8XulH
jDBButUoRSYgR1j9Bb3fg0E54aiGrzGw4DK/kWVntw/MLXf/Ec8DKIlmz+MKHGX76k2iRW0HDJWB
Xc+57KBvmNTlsmauX7Fk2URlX3+048m/c3skYFUujfLDW4qkytoTo7Otgyj7mOa+he5eVJ/0ZUk/
ap3xoWWh+ijyRn/znHUrJ8WVjwuG33xRPbPQ9WOoA7pTXZiFQLTy3NurLlW2D2ksfmimSLaGSk4L
mZKuZEraH0miU7h9Qz6T3LWKqSaq7WwrwXcbcJLdPmjrZ1f4+tmWTZ1PmI8J3BbOt6A6svoO2lQ9
o9WdpmCmmaymqaY2cuPsiCxpntShChYdCKKpq/iby1PVKWbvaPWbGh4qayCtAQFFjbhdnyAA1Nhr
pOioh/hu+Yy8YPlcFWAoNcqKO/4p8IIje31XkTm/qFG9BboIa+d8HWws3dzlPX8wKIzz4ddayVtI
Di3J7N93ow34pjqpzh9NXpJxKFHhn3uEiNUAzzL/PpGN3gz1YbCNGDUkrqEG1JEarXOxReq7Ij/E
3Fs8kL5XfYMD6G2g8OKtYfOv7o3zazvH38zCyi/XXgNBCPJJcVDdTFA6owfhW85Ni6K8w3MtW3Vd
ML/GQVE948K4VoOqsbzkNGl69tjICWhAc8Mf8KUxAtdDpgmav6IZDn290fTcvageynfFowshFNEa
FiI1UnwU+CQdEcfyjTVhH4LeZX6vDZkbPmcgJt3QSnYBBZ291nY4JLjR2xi3yA154fDsomptW/B5
8sgmARtrzVZ1hd8bK4SuekSne/stiz9VWJS9t1bTnm0qbnyneT7JBw+KkKn7XWVJXC2Ld0NUoMQj
Uyg1SgZrDR3WkxqN8bSKANU9qN6SeCu8PJfXEJMXAH/4qta5Kf0BPzZlU1zcos71vWV+xHruj96U
6gVSIIjobsC0ptigiHzVuZ5YTRKvXJHwe/InzAxlb5BN3rXnViO5pUJAblJS2UDg6nHQUXKNShTq
2b7lUgdQNY4qsqpD6UJ6HZ6Hud1bGDStMKY4FZqHS1vq3zWkBPBPsIJn9Cbyzwtaayu3CLNXBzDw
lmxEeB/XdXaY4KCfosTF5MK32kOYpfG06iq9uvRZYyLqiowbVUW6MqYGhjmZSIwAt2At0hzcMunW
GcqjCIHiUpPrbRlvlF98WjgAO9QhxcYZTgdSl7J6YsjKTD0Nd3rqLYdbSB2ZcoY6Qj9lzjeoDIcw
UVDLUkHQAdR+etXmndGeqrJ+4ybX7BSBFC3vGJdPup3kk05IgO0ChMYoepf9zlpw/NMap35CEnil
ZZN4yMRUxPLhsgkxO8JwTnbLNt+XXh9eDNOY15kpkPcb6hkXDhpQ4nWzEnZ81P387LtG/GL1bMn7
rnXuxmYQp5oE9B6Jhvixhse8ccwx+ugP3k97tKOtaUV8HgF0fJXblbsWIki3XefSB08YrzvXdHez
ZX52SzP9HqNVI4Jq/iga297GCWUNZ4STQhILZUWjsb+20xPLpBlIdKIfr56x0nJ2MKPx5LrpHQBY
tMkS3ufWIrGzVlNu7rPGWEfbeUiAufgDIqjJUO8bu+7NVdF1y32hA6oewu+TD1TrGqJytuAgiN9X
44f1Gj+hBd3Hf86Is+4tm+3yqAbUZHWlAHzziczL6RbqrmctZbWJKnPa/PEiBeuhe+Rf0GoqN36c
bUx98PYdmMx71VgUF+61zuxggWU/IOW2p77oKFWowwgDhhMio90JVe7hV1D11chtDsgJhlUw1DlH
Hd3m/DH815z/+or/bc5/e1UVu70JdfTf5qm3lKu3+Ne7u76x2yX+euXrp/7rZf7q/v0JkiENYTLN
VAX1rEPZwWuRMszYXAszkrBBkgZpCk8TQ3jGMzWkZrWTySx1eI2qCaqvGnW9JZrqo9Bw6Pnfz75e
3rFEx7pAvtLflw/ccJ9qC/rZ6iL/vE+9R9I2rxNoObI+UM9TsbPGBaY68nXlutHzg7VM2n0sSwhN
4tZHa6EooeoL1zNC1EusKPZO1y4+tBe7Sa7lhutZFv8iVY7J77VroHRsDU/XF7i9oDpdzSi14vqi
RblsqK/ihdq7QFbHsQHTZ5IiGMzpYkQieJknn9VN0nzyzdRfhRUaP+U8shgMA+cl9crxUTTxbjIm
50U1aNqkqyhiD6u6+Jpg7yNP4JnjvLhhT8U8abTNJNlAQgsh+Izck06kclTo1kRjkZ9VN5MsoVu3
MJtu1dRgIJH1No9TEnKTtET56hgxXt6zCd8q8bq12bUv3VKuNEEuuSWf0SNFcOePgcZN2gXar/qi
TMe7VjWIFMM1YVUu56l4Pfefy97yj5X0Cs9AB61N0xA71RUSoeyhWLVesHTYRcr0GxvQX/1BDt/O
0+V51zm362j6AGAprc6BtFIofZ5EhhDjWnVDO5sfy8yFkGy211BgoSiaGFlyQFdreRTR985pwie+
s/CJ+6R9Wqb+p58k2pOKU6Kpd47e1hsVw6i632QkfDehxEFbOYs2lGBwHJHYaBQtqosaUI2KdZHn
YYjUbDPxWDkQIVh0eZdGNuoIFox30dzJQHehcSQpxrtExpci7Zr3KBseirQqXy0MV8+6xmu3Ej73
7/hioetd/443OTvNqsqjTT8l7tlM7H7lpjVa0XB1enzZqs88iKzs0sWJC2Q+XZy9YcQALhDVW3aI
wk13uspD+J7xJFDjO/jgCMZN5tvYujUxpoDp6D11mdiLwjQ/qF6AsG+XpNaHcMiuY9oU+mcSYen6
Btq5YnPGFrNavaqOtwEF32nxd4TPEuKUV1YwxBKyuWd2pCs7A4irmiEIl0MWVMdbSB0tGOFcZ9wG
brHFEfhL3y7g1Om2yYaN2Rfmezcb+HnVTnc0PW95aZ3xK052/dcBm8YVO7Xl2ciG5NRqfri1ZySN
87bB9dBD5mQp8LBMvWDZNnIJWeJpZayUNooaWaJGv0qlXGfLU9SoC51qrUb71IZVwF/SqgYUjK2u
2ShQnmrceOyi6wi4HikOyBaS1QdC0uHS4McrgximUlGup3wGVY2TZSvxb3+h3NJwbUMoO6vwFemm
pv0NiVt4IGCpIFJ0LP/zKipmkdKL+7w+YpHpP5BIxojUryjGVMGDCi2jhd6SbV48Gaobv2OvgMRp
T47hfhz1bmdNKcU/ELDjvkOS8IwSMwskRoM5KnRAg2EsTXjie/AsRz2y59MwfmupyL1kvVOcyRvg
XCN92AZM085AFSFnSSc2Ega/umpUTVajqivkZFxYfk3+v8+t8HE8cic5Ua54Gd1C3M//NOngYwiQ
hcVuAqcG3YPubVRNtsbBkcSGcKMG1JS0mMS9OqpRzgMB2NrIjfyOqXlWzjZQoyS7LoJZO7Wep51S
20Y5oEx/qJ5qahlXR7dp/3cspdA6o3gI5BZIg1qxq6NbN6A0iaZUFlEQY4q+hP8x7zb5uvC/9dXJ
5Lx+nXwbUEdhmpHLcJxl/Zccp9LVjMKa1bY6DOa0WE8BjvBqIoCz/xTq/GN6Zaew0o22WF1vqCE1
Ti9xj7eb6u1GC3fYRScNG1V1e70N3CbXZnk9X3T9fGnH1dg71kU1vTwKSGQe3CB+/St+6+LtPq/B
43sbdcKcPpn44DyjXqafuqIfKXgjvdlMrfNSV/1qZiu1S5G3Ro2ynI0QV7/Z2g8tsjMoK2rsgnV9
uE9idLUgdVKltwyMu2VXxa5zkqqFOdqMx0UYmKF5NYb21fRLZLvlHnsJCwyDEXIqtkHlaqg37FMq
MXfCceFXJHqM9ky+oU7tvccJdeohrfwD7CX04GzhQKlr8XIzguGJx5C5gxpQQHvMdXgpcbDPvXp5
QDwNk0o9XlD3gTNkYmXBRjKP3Pcl7B9iPS4fa3d6dPKiOqtegYDMIw/K6MCjdV6pWDjDV1MDo7M8
krvpj14hAGj8CzGpun2d7xekJc7X3r+BlbPFRjL3C29jFQBZ4kVLqT5VWv0+tQE5NMA9Ku9leL1N
gmLMd9dk2DXz5fgOGw4dC7ZrX0sBCrSTM2xa7LLu4mL81vOf1q1d590Ms+DZCvTilaXztAo8ss+Z
/aNB5WfVSpVIAAwFikZiCu+zepvZbn+vIqoxR2s8V619jPv5S8iG9jR6SNWrJncLfTMYRbW9xSZn
6Y6pZWUrSwrcIz0H/hPx5kumG7tZc4a3hcLHcfQQV1ErBBkHdz68mbFlApEPxDaTgPl/5o96ATBl
su8cEqurUgvjY2t61BW1eDi0sVSKL/jr2GjK9wZitCtQv8697vOwm5KiXxtNiHK8jKmjIrGQ5lPr
CtsOuLThti9jiFtQqc/5Fg5W+5KXnY7ISAdW1O7qdddipNUBlzqoyRYb9IuwhjdNJFD7mxBZN712
76Nav/hAqd4aI7N3k4WHY5LU3fPU64jXjE3xLYjNC8nN4K30AwvRwP7PGXXZH5s6eetnPzqiYqR/
tK3xFaKM8zhHXfsaLSlexoQDzK/PXXB0wFlGzvDVgsXzkMxh/KBNIB1WKagpd9yRo03WiZmVj6rR
rQZwx+JU61rSPmJJAFEDELf2YxVrdyq+ZHF8pCAPa0ku82uQD9QFoD6prlWLGrnl6UehZXzqWgwP
waKPLC2SEbgVusbQkLOdYfjOW9IGT0qlAUbbmwPU90OYxa9ziMYJsDT7esdSNyXAKc0mxCkI6Pzv
W5k6UrcndRSyEnNKZz52fv8QzjnozsLjs1alPu4bTwe3K70EohoHAXWEcFR+QQtwfQupuKFLek1F
tcRJ0icea9iWpWPwza4OVWW535fmQ+M23FlGu70btP7P5q/Y6ANzanusS/+Z5s1VfxR2Wb5V2tnt
TPe7H3qUYoWjPxuQz3En1MttJtGgjhGdsiWu7hLZ8Acp71RXHf0V67ImpZrTgCyTk7PYRE6+1b//
r8+IOAm8i9c5wcmr9F0hAYokbVl+oeH53GSJOEjLojUuguGBMo1xP7nwjEsq75/KocVCEhrOeR70
EGHsYBU2zXjyjDqDs80dkcJbt9eK2l9F8p7J+UDcFvOhSXHB08m74mo6XeAXACzRI3ZRyOmAEpWb
Hna2EVJSi7nSIsSyDcuOV7d7hzdGw6OOyYIn/TJUPNHr74GPUhtUn0NbUYlJCw23Kl2PFt7g2zJV
zy0pxksFRffZ7VFGjXL929Bl4IfMsse9zLH9fSNHm2Syn8bpzrFxv4nruX1wXeNH4y7Bdx+tIwCp
4Ig8U4cFmnpfp8lvZQrUoRhbzptWdPaDbh8pc1c7t46yP1SnIrv2NkgmFxulM6UaJVM1p3Z78Dor
Wd0G1BHfSnRJFgOLYwSr5ug5AYXzqORAM3zKDDHzXyslRm0D1cFGHz5QR0uvqqOJGb0kfZscRh9B
cGeCHblWh3EoVyjqsO7yL/hN6rtFro+gCFuHucnRNm94XlWZBpHDwMPUbOFI/NOQOWM3XzrG7hab
InAvK2MotMOEAOJmrqEH25Wevi5e5jyFjrj2VAi2+WfQ1AlIQNKqDtY8WUpKnPrSHOPzRCGtO9bm
mAI6KstPfeZ+DyegbtmYCqhcaDbM4D5fO82rwG8SAwFqH/JkNo5F01X8olJtG3mJ88zWEKC0H1Bk
NG0flRw232FsuQ9OUazULpzbdncL3Xbn1NS926w6xRBhaopp3zVt9xB07Z022Hh9yN6tCRNx1/TD
n/HKicRDYtV/xElPdA9es4mSXn/ALC/MRPeIqUX3qI56lO3W/B7ETnVVU/EUPJta9RjLabW1PBi+
tEGTvKl5SPeIbs0X1WNNQ7mdDfoOMul00Sv34hdOf1Q91bDAQjtnminLy1HQKL9Gr3azFrbErl9f
tEa8s2YfXqHfD6/Tu5iLCjhvMbzG1fQlw6LqokZCT2fp02GUW2X7GXm7VQfkDC1+dnYrUeOvrCoY
bZ62xwAizQYlNOctRAVsGzZC26kSBrVcvMSFY5zUqObWn7Upsy8GZp6yUA6/npKXbDphBGshnwPX
LTyikBB5luiTyvk7oUk1QB3yVcKGh4C/nbC9R4qDkoBq0DJ6dEzPOSygji59Z/nngfWRIXsqZHrZ
IjY6RM8LP+p5azeUftSw3U75RQ0EvYWZFZDEMizOrErhF4y59ylBDRdkQvTk6nHy0OAKtgKN7n1K
u6rlXWv+3ULZ+cXHb07NB4vbbjNrdHZsJ7ynwl/M7Vwgm2fK7d8SuSaA4Y4u2/0PalTr6SqT5tuo
Mmm+nTvr+K8DRUU1ASjQ2ZKpBnU0upWJI3PgTUcfwtV1tMtNzGlYF0sEV1jGPM/zxXr0Oye517sC
wrscqHOAGreBGUsBOEo7fLrP1Dfmz1blOZt4MPWTmdXJh/8St3/HFcuxsA1ng5hJttLRz1gpNK9A
JLWweaSiBPQb2yuPwsUOEaUBOwR4IWXPlcUb02hnjLXKaZ+nk3MSFpT6EZAS7A2pTT/P1Xpwq/AT
EhxbFA3LDxIdeIdkJBljYVsfR9Oxthqb4r3rtg2KsBMFk0q78/XC+exHfrSe6qh4WUDSU6/sg7t+
cOsTGA5tny9Z8EBu9adTtwB8NHbMvdPm59gun66POPmwUw9AMSJtMC9JelAPQD/WrPur6Zqpl+E+
j+vqYmRNgkiAF29UNyP3eVFHPQJZ/JazJtjNiYXfGeZORfPY6q6xC+JyPmtDEwMhLVscAar8ZXF5
0LaOl733FZqe4fJ5miMT+6goefYy+0mhNKwkb/Zu2Ay7QYI55KxFzkKkftwafTOvPDHFJAnYXSn2
Tr50hyBqww9LnyQndxzXyK4Ne9uR2F5KT++Ob275rSRflwQ0L+ofNWI6VnXK8OUxo/yH+q1SzXQv
5tj8UL9r5SeeBaVDXW0JdyDX5vXcRWO8Zj/7r74a723xe/w23zaFdWehO74aKwOvc8m4DCpJKIaR
9djiP/3gVPioTZJjaVViQhs6Q2gnTeLXAr1ldYLWzss2N6wYjOk47DWzNNap/E8EzDPIvAxNOkcu
FE95GCRFwTcOlGhlhzEmvyCPgEJc07fFIBVI/tWbhidhuHgPqDF6hmaPO8RgHfsgDIOc9+JFj0Vq
JaznS/ScZLefpvhRHY1hY4AP84w99974sZVN1S7JvRFkaxVS0xpk4VeOG+n7dmn0i6j0EgfBMYRR
RTczdP2ijioUq1AiFu9Om+avwdixyqc0uzE1M0PvTZ8vpRW8sbJburWAGyvaQjwZS8OgYX+3liZ5
Dwz0UtweY6WiGDRMguaMCoOtfzb5ka9mUy+e+mlmSWeUX8m6x/tuSh9sz0GQX72POdjY4IGmPXgg
Kgax5iBLUs3PS4GbLggRkEXwYp9VI4bgkuH/iGYpIcTn5rOVJt9mPa+KdR3P1CGDut7fTmjz+z5E
966f0JVdFrfbp2WdPi5t9VGBUkYvM448tDHaleL4tcDKOoxSgRlcm6/5x0c7oI1K62e1eAejceut
Ebqf46FpoKAi9aHLRh15rkQyLE68r/UuKp4KxD9fIIOi9Zet4qjUc9wsY2vfpPHIUw0fFdVM0ye8
Gj9AKmLrIYFL4ketBdrb4izDQz8ZXxJqVx8HMy6OI8Y1VIb0Mb8DIqq/amnfpevKm9Fuxg6IrDvo
bW1s7Y9pF34ZGpH/xHcUwwsYkkEYPVnB5D5Vor1TCUxqtS9a2s6nW06Th3l+54CvURPCDI5v8KEc
Q2Bn7AaqjVvMLBYL0HvUVnlW6mn7nSdKzl9Hy7IDN9NvQyD8u9wXH8K6jV9UMzT3WeJ8aLsseg1r
uztknWnusbvJPpD5fbsqiFXet78mIGaWfYi7+S3X7ew1DTFZKyH8YKSsra7uPZ50QFHBGhgUogFI
RvZTelZL39Znw90CElmnuFZkMjGsr90WOw41vDQYLuZj3GESUeqkLlI7WHco1D5pWG/uK8tA5Q/h
qxhlvt99ljEhf270kytpMKRdep2FTyCtiOZJvCw2OSun84xXe0TC2qi05agGEyDfuwTVKnyFUK9v
IHZNOLfX0/04WWflcog1b7FuwUDxJbNv1kC2HR2TD6VcD1UTmau2s8SL6vw/5re4Xkxp//d89XJt
FP66fiPpQdxEVjqI1eew88d95PbRKQCJfA9KadwUl7bI16UZXKj9aydds8Jy5Xm1Vq6cifStK6Nq
CMS1ZZFQvoJvNDR1prQItwp9YxUaBTNjQBdGgndwPRgfuiW5eCBse255pKKCJHxWg0up/zQxV75T
vRRHLYSv5DaMLOYrUAt7nyVLu5ZlyCjuhxeHzSF1rWqV6vDe1p4Lp0Vnq3EIvHh4iUd/OKemxuZE
TlaxrvDv0zKp7sOIEK4Kxq5NAmOjBtXlWiDgqsd6AX2BAvxyU2GHqvvt2kiX8iEZkZ1dt0Z37dZ1
C5fLl7SsTMyHgMfKWqtwJNKcSH9u0lfMYXKk7ws0yhd2uadrfjTQ54OZAfehMlXuvWWJjympz83I
/vJU53nzrpVnQ9ZUa5RmjxraqNtU4wlTBzZaHbLS6AbpsDNBa127Sgvpr5iSRoIcgw9jnrCIleBD
bBrKtQNVCdVE9KbOVbiIilRhm55hgeCtYIQ65JMwJtrCxi+MeAYeWkVFDPMAYG1GcmfVz2ZyVsha
6NY8BqsuvY6qWFnxvWrs/FgGccZEEvtslCg9lqOTVWt1hUAOJ5S6zhqQldled2FtXt2QFyOZ7/tF
3+oYfp/Zhc73mXJNNvE/Pxo8etSMWtOhAFh2tRUhki34h7/3AnupzirjY9h16Wualp9cqROgIyK7
Kjojh46jtSf8EKxtYJC1zS02PniD94jiojzbR/m0YnneX1Q3bdYIekUPQvOQfSwq867R7OCU9ztf
FvkRpoYBcG1Izg9Lmf5sR/7amay15pE+3QEBeTJH303Xw1Tpe6TmABvJ0UAWYHlSxJRd62Xn5lpw
0ELJbnQM+2x0aFZEQ8+vunTtR1s3kD9P9eElxAkC8J+Dd0FYSo6zgclPXtQbcIXol98EyiM70fZ1
0L6PmLSLzVXkXA3zL4yVugsDXkmiq9gfw6IYM5x4Pl1DNWTSMx4EGFizfFANnnT6ZZiQP/as4aRC
iKfqqPixtlDdSNgs5uKHW0RNUGMqFrtmgjhQ+qRCqlFXvXUBDCY4QYNCVCf0IQ7DY4ukFkWI4JJr
moUGAS8RoCVyVLGFojrZ4paBGakRdvyihI2xCB2tH84ZagmxrsBvyClqtlZ5z0U2ovkxauK5wkul
nuvpLeuHjgKd+6NhHfiGEI6PPAb/NL1pTm8Cq/Q9VNl4q0aXUYNSqeNQpEb9dJyQmZgORk5+T+YX
FoRMdno26WuVW1BZBhXzLJZ8N4yAikUaYNvB1B6jVrORhM+RnlmG/Jkf3bTy8bn5Po3m2uqS+Esw
YTJsitS82L44g/3Vjkpbt5UOQ0XqU0EDvq5CqvlDjldNqeU8NeJ0bY39zGytdOSaDBjzGlbMRvPg
IZQaeH7wqJoqJ9XkwsJyzXy43OL2IOEZwi+OKjY3LvcUJTTelKTHXNfnBmB5p4U923vrzNUxomC2
8Vz+jSMgsWsvNvyzGnX1Z9+e3DcNa73dIBDp7vlhoTI0xxt7GcMn1XTkF9aWg6zEkFdeyo7Uekqd
Ck0pOSUzUUl3Qz1Zi7Fit5XX38oyitc8raynyLSjw2DF5dEVQfTIUpkiM9iUL4EzYC2S9T+cJn2r
/BHrAq/9mS/9u0pIeLrpn0wP2UTVFYPI9q0EMyME5b5BG+dnBSLhqEZhTIExErm4+B1+Q6UuHpFc
b/YeKPS1QparpnMRc8kLHAuWrmGd4i7tPmmGbRODVI1RanroPNN9gL1N0jrxP6iQFklQrIO0rhoM
Ct3etNOkA634fYITtu7D7NhoSwOobOQ11Fyh5cHF69O16qn5radtuC0VPTKTS++dhds9i2boPi2B
72yduZgO0N27TzroTD8el49hjmIbWSCq8nJaE2Yl/mmN+ZDFdbkPMdxkqRtZoDdPKapId6qjGqyU
CPsuHBd1GOXYrRuivXdL77MPVsdlQX3p2wkSwejhDNbaQKD5knYWUF9WHAmw1oTf7CaY2USbbfTQ
K6dwKx+1DesLASkLN/FbA0OWTUix+Iek9RFtDQBNlyiZXU9bWH8cbT//fO2q00aXAqQu8EzJJtBH
rus0G4Qh3e3S4SRhNpPhrDx/FLC5xbDFsICHqeyqWJYX4sHQ52xr1gUC1i7SyisVdFBv27h+d65j
DQu6Xd129d0i6wSNsmMol7a79idub8j3Nl/xunqpm35yCpzQo3w9lxblFJnwUvmvW9P2DaqOc9FK
+aTxj1E1WeXJCq0YV16E2ddfF7hl0W5T/kqv3S76xxTpZXGlpNwuqIZv7+M2cLugeqv4AD7mKK+u
VW3hjwKDOoRiTnq71pBujlmZqZjrtOF2cHhYpKs6JTN1qzrCIx4O+E4iaScrkXCg4W+oQwe0MI9l
MngDMktONn7s2+UtEkPxGpNBPYJDqXdVn7ifcqwdB9Qozo43L7Cpxvmevf9DKtLkpHo8u2f8U4nH
Ve+cWt9DQARwymppjXnbj/K7HtPykLIBuopweGCdLimFPTcvMa7N+pOvNeajK5vWRkRmFELbmBPK
JCtfM6sT4i9f1JTa0bDqAXL0qNufh4SSleW6ybmLtG9JYMHZsTGpbvnZv0OQztfm3Kbg08zkvXf/
h7XzWo4by9b0q1ToetAH3pw41Rcw6TPJpJV0gyBFCt57PP18AKtaKnVFz8TERFRBxAaQCSCBvfda
6zcHgcT6c77gyucBI6m1uR0T0euHDqHMZa9ZKR4oxOfXQYRVLqn9x8EZoVg9CFtw6PUtc02kC6pj
uWKpGrmL7QiuricJdbHrEaVcHYV/8RpeV6knwBiQr2k1hvfrolSnc2b48aXvJzcskb4WFaG56zR0
cjO9vK5r68JK/MLzxUW5LteIl3NFvClFAOnr1kmqyiNzKxQ0eLDsyEQ0aOWZlKYpel0eTNs1hs/0
BOZxQspp3Qq83xElgGx9EZX7sfRR7xWW5ErWx3fMy3hxstj4ZnSDV7Wz9SXWRx/saNeeZq33QayV
yBszoX7ti5ckLa3PY1X620FMA4btRnsAptRfCJQe1jW4F8N9WT7RX+t/tFTSLpN0wvNlb0wyGY4Y
+batFg9erONwn0ukThLL9+2uBBckdsHN2iboUbqZVdnYhrHaneQ8WdQFavMUZZK8G2Dan37asP65
LmpFRzgkFo9YnOitvbatewOPgDgCRiCOkw+4IUU3tFlH6C++GhPP/Fj/UQfRFT3wLJTrvbVtnc6s
+3XLcR95rh/HSSZZYETwqi3SaLNwC0k3wNAgeDCWeubQNafaHKTPETJ+boaNJ+JeZngiuYrr/J+7
FkZqvM0qCpmi/8euuJvaELEV3CABgw8ddZu141o7ll/6GT2J0X9advllw7q6HqZ2b9R+leu8TKbz
kVi2Whis62pWEIWpZk0WS8tAhg9MLiws/U4SctI4TAtuXE7yboxL5Tk0h0dFA6kACD95SCafkJdm
RvzkqObl4KyrPw7S5TB9BGG/q0fkXya9OuYwqwy3ohCNPUcND9xI4BKN1bDzew2sWNGHl5Ac1wVD
py5u5PMvzesOqhq9ySPiZeZyzI89zBpOa9702lOJCh0JsqIg7h2rc9/qkdsGgfaKBmkPSPmlgUDu
kb0XjxoQ6ltTzyy7i0f11U9x8FIt5ZmQFqxFplT7JtDTe2R1go89+qL9YhR140Q9aHqelP0cFPG5
kaToSqIsIsOpv+sNQe+6trZPhhI6aU8sJALJuK5t5JRGt83TwVv3WxfREt3GkX4NK/PZVMicybVw
bMOE+TzQCebz6LfYmnAfN3F/pxYd5O62eVjXhMDo75CimBasIaZPVN0ghfDsuKGQdg46oXmy9SNk
MErgBUXZXf256C7t4iyk9FHpzoWIt8Sy2iR9t29qJrKV7Ld7yu3NBmHw0NHifEA0cumtgDT0aR3d
tZaEjqSBf7IVUyBHFhYc37rHjyNSkKpnkri3eMEnF79r7otYxsFoAi+hNXl9NYccNKzATapS0gMm
C5tJcHvbLwsE5XldIl7myCpazNpow19evqgaAstLU4LagmXjWsh3T6m0lWRw65NiFfY8WqgAK3Pd
3oH7CcfH2vDCxb1tXUwLx75E8SVC9BMf8z/bVU0r98hnviuKsMMkrkHSl+SDPJvmUQulu4+U9roq
KiJRe+/V0og561zoWJbUkrlBS1NcbkR6avzJ381Jnt+uizKqDWdSZdMrdLj0Pcav6/CiKcg92NEz
Irg9dm6YR5iQ0DvbbJmm2usumZDf4yYpb/PQeM6mmcxdhFTrmdg9PFWZCggnmxDGkwJYfyr8aIr0
5Z6ef/Q3OPya2IGNzU2N3lPslyglpcoc4VMxkDX06+xukJTszi+syoEKqW8/9iHPiynmGN6su3TM
B7FCjBCt54C1qeoATYZy2LtFP2lY9UDcscXE8PdqIS8J4DgCjoG2TkFseitEc3aY0AHbRCBJHv1w
fFr1ULJEvBpWZTzBfInR89McQwai0qNWh11JfpPrenYTpHhK5FqiHAJZvPzUtGxUCmAcAZYQQ6bp
WJ0MICNsxg4n6I34vO780TaJw32Qq+FhbUuXY9e/hH4ZHSdJ3wworiWledSXRakLxk+LH21zFg81
wuGg/Id2YKK27CgaEo3rnzG68wcUyGElWImab9ZKxZgNkWOMprVZaxlrm1lwWWJyXld+1D6yNrM8
IUtVxOz+rIeEEjRnC90bYDfpI/Std0XOjLcc3fViEKWvbdrE9BShfDFqA7n1eOw2P3adKV2MKfRk
fU6TO+yACo9MYclUf4nFwi6J7MKURNJtMIHXxbrj+he22zPMuyoCUR7CGv5x9I+9/+4TfnzM/89P
+DjjeplBrVegL5UDUBqJPzOrpYM7jlPlf6z+0ob6+rBPWt/7pX1d/bu29ePWDeuhY2n9dOja/uO7
5CYzeCb+9d0IYkV7+qtdb2S9l+oCvWYMG+Ng1bgNABKYTtIISC9qAdfBhkQxZWkThaksXLnJy10o
Q6Uwp+oQokW5mh/EH44Hi/HCh8lCIfofPgwDVRMNf761ed3X+te2H7tGpBdTZSj268Zf9v2xW6D0
L3J9jAOz3gETnW+SZbH+Ra4e2kIqHklQtbFHDagbV0rDfBNbE9Y5GSkdvwgP6979FC9OG7U8MDpk
WHcsnxMkGGdFTXOfojBwiwl77fg4nW1K308tkMNCekphf6xbM4thOwv1EmxfjI2I2Se7HxsGn2gi
9UOiGj5pXZAzLm9LNftWtBlCdugGzrh5HYpyDoFiIKl2WNfXhTSHNP5Y7xLqW97H/n4fIHKeDSo3
v7tngLWcUWipGaRWeiULMzuzVYtfwrK9aaNA+87MyrGCar4r4Fj8CPbCkmrpODC0/2jDpicgTvhz
ATyzP3z67b/++T/fxv8O3ovbIp2CIv8t77LbIsrb5vdPkqZ/+q38aN+//f4JgK4I8kPjhVV0FXSW
KbL928sd3uvL7v+rm+YYdwbUoxL1gYpw/0yGufGGEv9Dn3zGsxJjbOBHk3zxZ61+VjbrTn4uDxdg
wsBBlmOGNDC30B1772NrYHSOWb5bE3WCcO5dpZWNM0owxrmbAvPjryCP6rMyoM9EsxkIjfuHjqCI
MjJUKVneqRLC2mrdhF+MKvhGhUO5RTw/uPIy8NTRrFST5FG+G3arF9RYNG4cMnFRpjbD7L1ZrNdH
6dp1yOi1lCEFcCN368LO4CXemZog3/X4lm4Hvw/ddYu/tEVGfaVejHzfckQoGUuqIzN4L7vtgPfP
zSrmvS5Mxq2TSRX1l3YpL7MTs4JtuKh5yyE9fEcp1cN8LHsoO0nYNFGquutqGFrjGYmZ58wq8wc/
KjOHE+r3SnJsVp5N2ukPy4rfK4/wmVMbylS4+UUC0CxKkEVGkNnrhrKb0Zf4oRXIWCnZotVmm6yj
tDYEHQoTWDde2npGeGRKztXKVV3bqvyq5PV+zqXgYV30ZrgxAiS+1jU0DmTHUupmhwJ0+OAndb1P
Q8rD61a/7eI7ganNutby2NqCT4eKMLgIEA3NiHWmtC7mevi57SMzvLRpyTi5ExBWqrLZE3USuMdx
Nhy1Sq8frTrZSQuUQU20An5wne8+RKJRqxtSzJWSIsHb3Ri9tdkgwdehN72+PP/1l7enWd+mbwXV
JdTd219W//lQZPz3P8sx/9rnr0f88xx9q4um+N7+utdfDuKD//hi96V9+cuKl1P6nq7dez3dvTdd
2v75gi97/t9u/O19/ZSHqXz//dPLWxYxEUbVOfrWfvpj09IfyLohqj91Ics3/LH58pJxJOZp+bf3
37y34aV++20P6jF/+5sPeH9p2t8/Cbr0D8uQDBVItSxqhK3Sp9+G949N6j+ALumGZSmSroq6rH36
LS/qNvz9k2r8A8kFSbNUWTFlLDjYRGFp3aT9w1INg4K7hYKHbCjqpz9vxh+93ccP9Pe9n6L80vlx
UjpnJpqKggewuVz6z52fas10J6NlbZvaPI4mRqq1pBxCrBZMFHNQDIE2HUtfGx35OTQTH0NDfJsL
gexmgJa7pXi9ypgEIQn4rRQfAO04ilW5slkeDWQOGcNOOeqK9mxYlwJ4Qp9K+ykMvmlZ8F2shdsa
mQ8rAQooSOh2Tv7rTz/N3/Tu1t9dnsI9JJXNzTSWvv/nvl1DUkafFWubhEAAigD8WDuepq5/6nOC
M2sggNKZZKqW4P7nb5aWYePnYYU7a4iSapIJEXXNsH756lkSmqgNCzSDrFNQqcNuUKBjl9K2A1ds
D+RvHf3ODEhQof7m/OcvN//2u03Zskh+Mkb88qtmggofrMqt7Tx052xRVymFQxFqD1XYHSakq7VO
3P4/fKWM7qCkyaZoib+MonpoTcgmJ9Y2GsZbuRwfBxyh5fY+9LVzRbXKtkiy/+evNP72MmEKqArA
EoMb/cuvq0SJjFiEtVXG/pUq8Ns8DYsI7m7ACNpCoESrksWXt9xXoXCUJCbyzaSkiIwL3qgi3YXz
QiIx7BkEg5R8HUGtOgenod4OhIBEs3hty4iAFEzxRiPkcUKMXUw5W1RIvQTjFhJzr9McPsnwPgXc
P/IOnFJEjUeP09swmUSbIQLM1S0yVSe1ALmlot+ynWGqFItcjVX1l9HPZrcc9ctgkUYyRLL22ANE
aCk26GXGN2FoPqjLHASG6UEDr4jYxXaae9iieXgoDQnuZYUnLLVlNZ5Duy5bsFLaVZy01xRJERd1
LFtU0CMZ0HH1sDz+Vskvxr7lJEqR2qkhTi8C+XOHydHDf/6J/v0XMjTTMi2WkqIr8i8Pop6pYasY
MjCNukaIOwFT2ucHdUDEDFjd91E0llgq+j88GNLyw//13aNapGi6KWqKLlFG/OuDgWiwVglKoW2N
UrlB138npIvcjWSXQv9qGla+0y3xYRbP1SLWZEmxraodCSrBa4P4qeYlGYTm/J9vxb93RaYhioZq
4NqM5OWv50R3H6HHbKpbyU9fjVq4qdJSQbQz85q6oxprYs5lVhLe49HHKP2XQfrnKS6kU+Pfb4gl
WUCVTQ3rKWm9YT/1g3kXwD7WLXlbYXsuA2hFRP+zqQ5oZ4So49QRemQxqvQjfcRQLBIzKgJ3jSC7
IcYKDqnbpbou2aGpxk5IsA3aMN5Ehfw4IC/kZB0MA3FmoTFpg/0SPVvMwnZTN8EKgcxkUcYS4uh1
1ISTCIMNQSVJw9OmHU6WmpCGj5vaGTv17FsJ+qwF+ghSWdwUTSLj8Z3JKGM75myiuTe0GKMh4BfX
OigIMjaDKsmuWXYUTIELmjk6GbgUpzgSDa409Lotkn/Usktn4a2QIzVQ6lsUaEh0SjbFh000HMM2
83wdzyNA+XhQLHkVN1K/dVhmRkiXaEmLZp7iJirY0/2QPFZiuyfE33RT7YnYPCvsUPGuDzCCfTwB
wCBAiOtKyhHVVsE6qlVga4r45cgXeTQ28Gy2kzpvs7H2Yo1Yw6i9Dvdto+EzFwiK326G6lpUIxJ5
Opzh9NrET6OVXZN6OJW6fy+QWpDnxqNX3Ix6e5Tl/jP2aY5vVY9Kpl7Qw6DMOJNgespxtgmxYhu/
R6jiS0A2ZksDC6vr4LKbx+XCuA1bQy2ukmjeV3WLfnO7t7gOIwtsIOK2NigQJ5qjWFfHMTaecF9z
ugDmfAYGMJS2opZd+zDe6BAOs0l182Tc1b6+CZMCIDWIIs6yaqYdE8xNxAOkFu+ICKC10RxmuQV2
HjvArpamwgIMIyT0gog3jo0nd6gKiTh+mDE+AXyT4Onq0mNR+QA305jKJRTya9pnTjJPdq7pm94Y
d5WVulbb7ge58VQ9JbU77EoubP1N/HEHVxb88exQgcP7aTjF0mPsc2P6YUcO3BHH1E0lwEJ64wWl
uYmCz4b5qo9PQz9vDRn7sAhrCh6SMpg8E5eLudpZ9vIlgas2oyupqlvOCNmq0SYOZmSb8IkwZycM
g4cBeyjZaDwe76/BE9mDnaZXV5BRV+qKOIIlbhylbl9hQ8i1K2njCW+BOJwt+LUKz44UqW6BdSBI
xg3xjYOhxEYeJnjm0Yacrk3ouNFmPbOHKHQk9fs8YhJkNV7hw26fVT5xBsKsXMZsRig1m/DsU3zF
HsQqdc3keai4NSLARxto/3WA6ygG7Svu2qkddrKO88Widdx8z7BOtvuxFzZ5pRxaGGvVoktECt2W
AxQ0QmGEKdjIb6bxDd9IyfGVRnZ1ZMdcK4xvRZx9LA1wvha5HZ8EGMlOqHlS9/TUBkd5aNPm8SVE
YCLDVh65qbhT7EqEMwmdWwL4roTBsQSEbcRw/9vRxuwBQhvMq00s3Maq74r6K2AmT+one7ZE24wG
hnkAMmgrBDVO7QiRzO1ri5yXRPavZGBPxudEXki5qAaF3zU1cofEd7uhdsepdUBuoUYllJVTCZjv
Rih315ZXjicI2/upMG8Q3tw1cXLp9NYbG98teZ7ng6k0Gxmh/AizJmMgSxFg/Rcp14Kgn+py/dpP
8pUX8qp2TeZJbtCU19wXchfVELsrI/pViy4tSKa3dFQdmcg3hEu1lcQ82A21lHplquqXVIWz9pXM
hexgJZja4vJXpX2d83YTIaRJIUF3ZImqwyjsLUW+8hWFm6L3hk/JS92gQ1VE/mmW+lerSGs3rg7a
wG2XQS3ZmmbGtpyON5gUvPO0YLRqlteCGiquqkLT9G5YGalniUw4K0u89v1TqrfVl7bE7rMqxWel
HjyC7xqoBk9mYWHYAzqOktqWYhp1+WA6VUOCrG/gEVHhlhkggGlKkaNE43tVmYwPiXojM2XWLOlN
reKdMk2JHZvKrpHVr2ghP2gTUpBWYQLySa64MlOs80cnD0DOafmj0PrvAYwOAX6sbZGmsq2qCOgE
b1NrRiC1hgEkgC2Y5Gp2Cp/ZV6cSLDA3hJCOfEjLj2SO4omxnRqkchVfKJ/BAD/ribFZeoSQbm2c
HhH7ZOapOlUTniIZrcksIvBvqU3ir83/Ztztw6z1IsRO1OxFDZpDbwHoNVEAs/JrjVTz4r7zmC2e
rbrcHU2NHgeJqDlIEGZV3KXbHoLgdrLotheULqBAU9tEHX0kdZxlqJqIMcC2OFONQp+wKJe1nmBy
RTjbBbLg5b4rKM1eEv0bUTI27Tzs+oYBLIw2WQu1A1+diHEo69AB5YsT8Yws9hY1zo3I4JEWuCbR
f5kFJyDFThvM51JHFmdO3IaPkmZxq2kMD/JOj7pTQDrToGypPmayepG0CYIoVif+dLceIKCGpDtJ
8tD3pdP1/g0JM3eY5vM6PsTS1h/oSmGmovwGSORb3IKV67gDX0g4eCEmLoavINdublBit4EzgJx+
BwJ/yKadIIrbBkN6zTWw/RRi1e1i7g53ZoZ/03XqZTmNEKyrH0kgj2KHE20Nio9Tsokr0fEn6s99
/jmAwT6ZmCy26mdylN9BpKLFnua4HlJHhL4muPgJXDKV9zRNE3AQSJCBDH4SU2g5A/yf5R3H+Cz1
coI1h5xa3m2rKCZmiDT5SBcN+hVYg6/Jqgula+oby7a4ikgp6EcWazTB2swjHmM6b60CS80W5Ow9
rI3URlTe2Au1eZMFXwQVblAyINu6Bb+8p6et7TjRAL0houcEwqxtRMoebpyhFVeiaWOHoQEjpAtA
dqgnY1SPmOi5ZQFWNRof2/jWUrCFCICfqZRudGAuzjB1b1F0jULrizFsZa8MwzcDl1m7Vv0BmqlQ
OmML81mgsNLIhrjLl9dJqKH3af1+sOMKguTSKUgxZHJtma8lU3YsB+H7Ot0rcsaaIqbvMTS4eim8
aqVVrkben9JoRFFTeKypptqZEUEimkfKrXPAW6NpT9VcPDF3h9fiIZiG4ALa7iHj7To9VRNmjTJZ
FidQzNtcW6Tk5+koK81BDvRTuMnU57p8KI2c0xt0/xTiY1oDYOMRMM8EUzdJexfUcDFQYzmYIiYk
qRSAsBP8Lb4P2l0SKAR/BuyBOUzvm05M92bMs6eJRyUfLygrvlUBvbAxviJbIzPsSKMTqc220HFK
AlrejMQBxaS1OzN7AdWFytDUugV+5+h9QdNqCAEzOvw6L3Zmzmjh53MGSa/dWQ3ghEgD9pMbB0WT
Pmu4crUm/Y4ffjct+TNWFJWdJ0wax+FxkCi+dG3/KItPqOu9SZGUUtZS31oJbk2CEcqY5KrDJAif
POKFLJPtwVQ+B1EQ2/7UD3atS4dIZFzWZNwtSxg6fZ4cxKrfpqp8nkd4QfFo9byzokqoMGVbLqV0
ypguSOrL10QMCblkq3GtAD4o56VSQK/kU93ODNXd8Ii96bHWysdOIPDVLT93prCh3kBMorzPQ60g
e6P1lJBcKYeEJSkRHtdRkLmxkpquYY7M67p8EToKUGbAwlIoh9wdh5QSixlsgfPjiZaqmV1Ruqbo
n7lNoKDWNPb3bcBP2ATFpu0RGxtN+HZ+5mMjWQc7RZhPQnJftYYLuvjSpVluq1WI9AloLNtCs5FO
aPhSFpoTL9fYA9gLheo16l/8ugWkptc47nZ3pY79JaWffWdhVaKXr1qCvXMyd0iAV6/qWa6mB4EK
BVVZ+aYtrNqJk1BwjApGi6jsEvlFkgO6U5y+jRw5txIUvrRY2KSD/jmK1M8TrolxpZTU1o1DXnaP
aMvDVk/45ARNU/2QGZaLylnulDJCnORt5HaO3djQ8AwdHo1Qq21ZEDEf2CXK+Ays6gYhsbs51w5E
1p8b+uECd3ij6x5nH3/PLFPuLYBpSvAduYqNEknMNFCZdXtK4M7yi0rIQQRz4ESLcwxBE+Weg1A0
qJlb6HBKX6loLVa59fMQAeRSGwO5FitCN9JE9FMaeIyaF37bZ58BHooBEp3iXOA035yIBuy0vlv2
wazU9u2+zGzJzz2xG0/y1CPlrHgRhgtDzYgZZ14n3sWSf/B9+SjUwzbP0ksYnBWk23vSAPBstlUi
XKEeHDKeoSLr7V45oMswKHaRMj754u61jypX0wcnhcsuQ5Fl5hx7eg0KNNV3FERsUcg3wE9sXQqd
QcTdus3hB6ueAQvZtEKPXrhhLlLghdoVHr4dngZxVi+1ozElNynFAlwr7KBszpZ/FoVbS6rcJcAy
+2HDgHwXhpqHoOUmy+4XvVveUnvukdHUFtXqHvSp6apg83X6TGwZAh5ZcrblAH4FbHGT0FkYOYRU
vUZSeWi5PrE8AdiBTFYR0lhTBMMat0oZpyfoEwxzxLJjh+5AO5bXyMieDWIWfzI+o0xyX9a2UWif
WwpHaWF966z8qNbQnuMH6jbQeILgbUH8Ya3K9M6LR+ai6EvjFgLvi/OadScqiUlM1RuE4LZIGtsS
qXKG+W7ZR5eaQ1Bc9OWHKSKPRNs2r2qsaeeNqGP3KcR70J1mh7P6GL0hZ7FDImbDhHrbI86uktxQ
0hZUeb6bJt1OMjgzuGZP0Yufi7a+KE9M2l0qawTxGlNU0MV6jJoWymS1r6GGmr+K0sJyHM7jPJyH
tEBYrt2CK3fEtjj6XXEsgu9zY15a/QY295uSCN8MqT+3I9jPWL7LKgBj3T6XatdAwcBE2VMJW9ca
0BCTL8iX2rEgUQ3FNT2OvYDEuzzmr0pMyU16lpMljIU6WhLifk59xUuQXYgsbe+7OFPN1UVtAJtz
6ywLBns4bVStQHy3dTMh8sjMw9PVzqqAel47wgnC7KOG3ckt10fDjrlRLaSsvHke2/ywCO6ihHCk
x0TTonMgQTmSoOG64H+bsubUytlxuf1qX28pV3u+j/IxJu4h89BeIybQu/sYMybUubfWVMNEyat3
qRLfjBBcq9JnW8QaBWc2qWp1A9OeZAjfCIV3E+c9zPKlM1MP+JSTMoIU6snq9c8U+U+MZ9egMzZq
MXh+bL4DUiWHHuJMVpC2cmAQ2k1l3elld2/AV7NHCWDSMCaAm4lWEO3nIZZjUrSs5dqgbsSgf1O1
btMnyaZpNAhxPnOIOLjNZfVJCBLqnMmDmDPRq3UjIAvmwTCscSUI4obBt/tqyrCGRrHapRAf67Hd
JhoiAKJBpjP2YtEY0CyuNrMBCrlEFz30R+qxwIDh9uxDI7npuiBCnBVeTj4W97mVnqdGeoqGoHSy
sfs60f+Gy9ZSV57QWwb2OvE42KKEYFGra67ZcK4cCVfrPgv0/cB8DwueTYgWbjsqBSYqnOASNmaC
9FSK0a1U1DvckHZqatiK3u8TU3qSBnZSmuxs5cX9pIxv2CycOy5/tLo3udT48YfBS4m18H3EglGI
b7tSeiqm4sHEQD3JoHz7ArY6sFhtkwHcknl7LMR/N5Y84LOsivdqQBG2MWEdFxDYwcWkPLhTLaP5
1ch2yHyUZCJKiYh1E81Z40EUR6gXVnQrDuJT3QzkMiwbX11qUl1+HiXpkE75fZQlt30GikivmOHX
9UbFrseaU3zy4OuHybaUTdgAPOaZtasEcOUDNP1aFd/S5EGy5oOupLeWUO9mdT8K0rYc54OVjl4W
ja9llqMa6A9veHpw1YXs1aKyz4tbY3rtK3VvJSPQyvqeF/3ZmOM7WUxvobgf/eoimTF3Oj8v/wZd
cTaw76jp7+0B8FGo19s1lzKPZWf3avWim+rXuiUokP1VoRjGXjQ3heuHT5PhH2WjOK1BfgBmPFSq
l7UK4ePlZOeSJykkD8eZmoXI06mVsuiVMzhnn7GdztDAgp40e1S44SSidiwguyPNV0XC4lWxpi+5
DrnHHO5bkcxuKpCJFS++BAQtVuVHSGelZzbMgrrgUYxA5IRFyCCgbJGA2MV1GMCtxRIlr+DUwD5C
WaGQHwSEudMlGTz058ycY7vRgkuWys+DKZz9PDnmWDyEdQ8d19DsuchIvRVbq7ltNLi1ag7tTWOI
8RV17w/CKa+Dk2Epn4ssP8Sj/EIY/k0aoEIYkBVjNT6kQkBello3ecryFfWHjB7OvxHMAHvCa419
rBNpkBPHCqRJk3xNWukprXit9Hq401XFXQIR5G2AnSFS5ohrtJCfaqV/ryiAbmVRcay2QHbBUlX0
CEm0RQ0olSUMm8l4Gn75OvTjN9WUevivKNtlaKQi1NykNkjo56LTycJB0EJPFsEAQdLdCu8/kmh1
0u16bRfAHLJnov5+Dl/osFUqpfCT5ODd6EiaCuablCjBBVoPWeTxPSGwzLIGEKkh2miCWdvl5lLk
JINXEGYtQcbQgo+a0gADmBiq6WRWTAjk277RPpeSPKPv1WyiVNOdPpfKg2SkLup610RvLkGay3Q0
JHVg6Z81sWCc0l7buYjdZGK+MxtK41Q+5YFA8amR+fNFgI1ZRwj4rOe+KIHabV7YCf3+RpxF4SCR
zQX2SFaqR8G9Iue1IPd1t6gvpQ/PpqnEy1zlgy336PQD/3pLmHWLQn1jRg3MhfagW/lt7Ss7GXp9
phSbsrVT6PzgwU9MIk7gKLftvCE7TrckvlQg6dZbD3/mSR3gmhYFHRRzK+ZE1UgQCl5GQPAxKZNb
Ax8VAPtMR3Au4u71t8UUbINRDmxogikv0pLKpOTdFzljITVBSEh7oehkFynfeBOIEa5OaKbo8LKo
M5d2XtYRVKX7BtLqhJ3hMc8gylOtOmDx5/RRs9OVxkXljFojgpdBXpA8CN6hfQa2330RLJxH+lg0
XV0EZji15Q2APXlTtNF71aI73MuZ4PRK+c3vkdNvqFS248QkcwmjGUTyTdDoDwJDSFlfZNQbnCE8
1IUVOVIxXUfKJDhc8Jz0y19RN+4l6GJY50m2WOF3x4ubxHQn0sQvuuS5isaGjEWxwsrcVuW5SuIy
RIOErj9Un/04juGgIto4SkyeYcvd4IGcO2INnTcMkbQBUv5Myb+3h8baGg15N5DtkQNE6akK+88g
0J4atCYqTcg25T0VMsJOi++WKOWIfXwPl6Wj5yShmWfcqDC9s/Ig83pD3fTW8CCQjotV9k95C+aA
stR6+mvGVEBlwYIXb9fmMtcRlQNeTkwsmObpKdc19QkJQ0GcXOt7nYr3rTVGXCws0BwPXRK7M3JL
5GA1MTquzUZFzxTl2LIh5JrtDbU/B2WCW7Z171M5QuhDMWypMA9rV6KK9CdAUCk0BHLg6A0YOSyx
vxX6fCf3A7lwspeeGZ8EgflyQfgh4DIw+3y/gDSvk1XaA2mCM+hW7UZJxYuRllefn2G9nCEdZVfS
4y86iC97PdQkO490YehmE2pYM2TtIKJbMCU6gtg46tbo+lr8FcxJ6jUGjVlVv+Y9qt3C4EUSF9Bj
qu2MOUEShUrJq9T2a9xVNwkKTk6hvHcKqZRqOXL2k9QpJWtPzXyfTqRUtCa9hWwT23OnE7SaOJq0
0TZpTHNnyUDYgro7DIXwnI1JzY/FXWmbkeHIzL8OY9g6EvZukiLdmboKr4UOpg2U55QUmSurqD3C
efESsg+eZMXfM+whssy/BbL33Te6xMaciLSVcQkxOLXLtsF+JQs3qpHdB2J3pxjpfcqEhfg4AoI/
TMfUvNFJhYMhjb+r/5u682qOG+nS9C/CBHwCt+VZJItOortBkBIF7xMJ8+v3AajtUqv19czcbMRe
MAMeIIBKnDznNV05bnSEela5h5yIoxhbYhOzV51hgKrCF8DOrV1P7cewGhx5ZuWIEjtERleTZqBT
yndZa8dLt1C3rZLhpvbVG78zNMASE4kZ5B4s4Vwxrrz2c+R4Ci1+G33jwDf/kewhSquuIuEGGqFN
07fWBL834LIgDX48mvWoh/VVWdgHVzNQMmCY18j4h6YVP5Kyv0c9ANNz+tChMq5D6yX0jR+4Qd3D
UHicStalyK+tcX9/1GoEgtW7pFAw6OOjlmqnvCh3Y6cfM2cA48TgQNMoynHvdGe6JGl6mP/mBDt8
nHQlBTJwZRa/zUUa6Q6X890SD7rT3nkepEtIKOS6DcC48x2MuThDdJtkAh7pFcOlHvb3AMR4Gxnj
o7+xoXhxihvGoLIaH0FMPjZ2ciX7/uQO7Zvw9QsUwtd+ND76ZXcPMZBADira0KY/kiz9UdfqfmgI
Sq1Jf60dH51suUE/my6MNXDsTlaHqQ9M3BUAwMv5X05cbJdsb1UX+VsfxW8diTHC3DCCrixRI+3V
Yxs4p1E5J/T5TvMltfWw7yRps4yXiHd0FnIGOcTNGMUxuy6n/EfcqfsMfaXUetfwJFcDIw57qGvE
O3e1aYEV4VqGFsB85jmbUSTVChnNeL8s0kzuUiDek4AMeDE9Ol3yg6qrue40kh2KaknqzIeKfUBZ
dFw8R9V242a54aHOraCL24djhof15HyzOutoyjTfikReRxX+oFI7OkoLKKKkeMhM+4wPSp/6O9c0
H9OCf0SDzkKl4smbjHBlO6pfLz8Yv/sxUYxxawPNEVtuofkjHEt3Frb2U5x7x1w3HeIr8CONg+4q
BNpkrhRWWOdiSNRfJMaEli6slWGiXKYpKsNRxUtMNesK0cWt3SnxuTU3It5m9SMEEJP+atvPWBWh
Td9bekYG4B9Oztcqasu7qcagMb1oB3Ho0QduTIvqjqERKiR9BBjUNWFr0d9VEV82fGBIEUyuvYa4
TcEu9q8xXNl3jfaDoNfiMer7osg+kJYYeGDauFai4APcoxFZFX23rssco/akuxJ1h7WPQPlCRWSC
LYHDcgxcJyr3uOe4a8pPaFa2WJsJByJjNwNkY8j3pgVTLKfeSOy/CsDfoxi/xfoPFTN0kVdF2145
Ul8Vprlrgn7YtKq5y6Nq28ZUwEEU3dU5wAylDPJZIn3XfLFph4QUpyRl1IECz7VpXSNVsdJBPa7M
mhFf6lbuuiiJfeNI3ffUAWIvuVFt8ZAb5PaA/xE5WeJyTmt6uVmd8qpZa7H5HdrrYZxy50vp6Vdx
N230wKlJuOYXgaQvzkwcHZz+JUzyal02cbdZnnQya94y/hp8GLXAW7KtJYzv3nCVAGpCF/626Vrs
ARIqUDN8pK/094zyFwADYuNi2sm6fBO9QVKc4pSdy8NdQmZjVYpo3KgwRnyFmMYpi2InnEkxgvYv
y5SMXYqlozKepMeFJwTMRTuZmDrnhDZovTudOKF+DGBBiGoNQUuBgkaChlezMo3v+eMgkT0MhU4u
HGGq5dmafOlE3Ncr0h/9bgAyFzoBtNY59cVYfy2FX201x/hShmTUhhItZ8ePDps0nbOcZescg3C8
y3yeRjtXbHGpJ6CCAp6K4mWoEn1OVlNDAj7dB031EM0iQJH13YaziydvyOhvrPtNFz3j3Et9YkyO
UhYVARXQlgqbYnigJ6Q9zc2CzZHmY6hX960iPSpNgp7WI473yMRN4bR3UF3CoJocFeiNOUAaBQKp
pKF4WYmBG1nunaY2N2Ffj2t3pBI+l2CX2gMkYOz05lGM8MenpHRf+6o7Vml1QVcdb/WYkmhSVq9D
QuckcgaWSH5eBxpJXAAM3dqy5fM0GCvD0Z8co87Wiv9qigkblxeGz+xLM1H9yBmMzUMdMb+RiJkx
UFqQeqlez6P2HQI8FxDid6NLbsAtvVvhrWKb9GMvH1ppkcKnfNqN96pJ7+NUbhqLuL266Br1wADi
hMbiD6PPLvp5YFCTHZ3zRwcQeO+DGF9Asn6Q4NkW5k4XAOviVwq/xIf2bTfKdzhkbujfFbWzIhol
Rs7AQwiPyCdxZwWo9rJN2gv9hy1OfI6PfoDVhKpmh0hHfLX0Zpt79IpBTKxdl5tmOhmtdrcMkKbc
/J4CpzWL8aXEvHUTBGRNC/+trerDEAneH97R5W6Fk//ukArfLG9/PPo2QLX00YfutrLRQkUK5Btp
ZnGhFwhUJTVoDR70tRFfCLMacH5+0weeqVDD1VRVb2O4sSZOKER7MF2gBaVr3bQK8yfq7laYFLsF
TGDVDFp5KdCRucGm/r11PIZ9zi0Y92TXDEimYxB7oUJ+vllLJ5tkfHnMcDjkZf9ddDzPSIaMHRr8
MBPEUzVv27TG3RJVAqOca42pB6xki5sT4ZbJcWpFrS+dD1Y31lPCuHAdpCXxXtFsCKbwC5s/KTLt
MLDoPmqGW+ulR7I6AGQmaUVPa3epM7w1gBl5cxMO5Ct+oWIEa+J3q6DwEbQ0H+cC7FzDnzuNqHSf
nDgwtgLQ7yQzErnOWzw5t25Y3TXCmrgv1EcgXoI5OfYORaLRDcnnTfG0KweR7+xReaveyMNNaUDx
0gK+fY77WJugGX1NfnRj+yMTjIFS22GJDe5+iNqnXvfXkRueBuhP1MrpWTtyIFb2vgypUSiHN1NU
AIlgyxcEJ67NJu1gbQOnMDbBi39oo9JcM9q+GgY+3+R6952WvLSRPA5j+j6MHeQd4hxsgWezoEfd
Sl4kniHUsYeVBctac5pTkX5D+fTUlPE+cz6ob6Qh0sUifzQdJKqyeO8n3i2505Mqp3WjuTqK/OI2
sxvei+sKMTJ0Ok5J5x1EYwg+lNEeQPGHbMnHT+774B81HE4jpI5WXZs9GtFExj1tP8CHwdLO6ep6
dYLAANR/PHhW89EXQEK0xF05DRnWXK6a7LZtYpKvFkqt8YuKvFuv705R0J9GfbxCCALwrvfFn5D6
yzGXST4S40DVbScG59I37KPlyo8EeabZkHWdC9KBs1msJoCyB8NDD3FMKAPiOv5sER9THjdjmiis
Tp5t3RR19iXUQAMVQc3gz9S+SPT8D6AMv4C5GFf9jOLWhH7X6jDIEDTZZNoIbzx/t8uWPI/DGFqr
WkIIh/rpZEPMnPGUVoytUVPrL4gyrehRQ6o+bDkiCrsKeeNRRLwb5Rv5s+9zFRsIQnhw27cWFfWV
qaO/A8OAuqxmIwoQXgsOAMdq+mij5t1kTIHmDYnsqfpaDLrD+Gu0UfZFSceyT2PXE5WZRC+ZpXbe
gI1dl5ibqVJylz5EnvkUxsbJESY6/jqRVeyEvCdUD+ecrJkZ35MJ2Ir+pBkj9VwzOzbI2q5lPDxG
vfk0JPm0ykd/D7ySurlJIk3FJwMgyXrSZx1S0KMhIs28tY63G3Iq3K1FoFlpac4ovyB0/Pjf4mwh
RtDbejbauFgD/QY5RtyejoNE1r6IfSquGUA6Eykw0RxbshVZF+OehbxVMP43mHsLJsdvoOO/nxjO
xq9cg6BDLI2SpLkHU32wGZ9Hhr+LREzRQl7M4Mwp0xHPP8TaD+RHN3M/ET/a8Ib19qOSuMLo/QF1
iYOpuTtRfZemuhp8kAUAVCjRSUYTDhY3nZlukGNLqRuHJijEtN3++/37J2T77//Gb6B6umytCD3+
DRJV2xmt6cS7LLa3FoRxr78dqGz8+wmN+Yn8Ha3NGV2eP2hth0TMb2f0TadBNTs19zy59XyjKhuf
5khehGN3kaXdlRtmJMnAHxUWIhw6qrGob9TWpq20q+Va/p8Rmv5Ggtp/lDNlqP3/gfWkGzOB5S/i
5D9YT9dvRSzL97e/MZ0+d/rJdPK8//J9mEquMIB8o9TJi/WT6WTo5n/pOmMeByy24wuXJ/yT6eTq
rNFn0pWJIItH9unMdJoP6HEgk5ow4avzvyE6MST5++/ThoTgwwbwDct3bSgH1oyR/wUDb/XIQYcV
Ju1OqYAgNMiXeyVshECaHhSNqSC9AjVArNLLzk7LYzxOxTHLvJ9NMU9NEG+3cZg9npfb9aUiRYww
NJsX0a3vZ/1FhgPrEUhSfnQluGORf9WnNxVdDc2NSfe0IeZSlX2jpJVvsXDHI0BEx6AFEGQgOCBz
CvZZfbBRQ1sb4B9EozfwUsK23/lymnmHrkPtuTN2yjCfLROoyIHkPEWSuCqPSZl91yuGubERRJcu
hsUXEyga5CrCGYebwfKU0YUg60PWF7cYEXfaMSrKe02zyX5nDA+ppjSM0EPzeG7itvo5a1ZIIGDj
NzDASlzE8o0nNYwZKoo9WqbUMQUkmZ7fMkH50HXqyEnVcZma5lmtEwytUDrytqauXo18iC7HzKXB
xdDKjjjjUMpqOxsLaB113c4FHFN3mXGgOSTzvV1u8DJVtvE/Zpdl6fxAlqml+dNulPA9riNl2Aym
6JjNTWt0uY7Ma1wiCtnYMwZ4jlTl9Nbk+rRtg+LnhmnpsPVfs/YsP+aEx/ORxjEu9XXNrjjdMOIx
yuOYF9XRxGSMke0Y/Jxfps7NVPdqF/bpXeAJTD7/agjx5H+elVxvpACSifm4y8nOzXLa8+yEfSvV
V9ywl43TzIKVel5tL9d3nl82Wq7PjLFQqnXnaE/Yw+qdDjYwI6AxnbS+CKpulzZ6hxUjT3uZOjfL
MjnDgHIZ75BTL4/4mXMbYqRtAMsgdPlzwbLOnOcRZDVXMgdE108CSWLMaY9KxXdozVKuHZ/MJCZQ
NmqAY6X4munFvdSouiSJfhtNtbwGnAIot0OPy7JNBFVEVa59oY1XURyZX9Fy2KZekryUVZUfoCY1
K1kzdK510KWuYz2FaajuNBnWgG3THyLzyue42JvW2G27hFg5Je363IhuX1L9Xtu1UaJCYCiyKlq7
qiNrfDbCOt+OApk5SC7TM8y0nQvYjviya05WzvBSueqRTG1xR1qz3Ba1tA9jWalnzTIPRR4ED6ky
s5vARK4xMNL+GcVxZztSJNqVE3UMSzTPQS1OZUXCx/WJDsPReV4W5zKK9mkfGzspq/Y50bNvjiwC
PHfAEPlBVTyESjsOsU+itLcxXDaK4lBOHBWqqP1MzPSBvzsM+9KN7vXORcVkBvxFygCS0/g7+BE+
BJLMJOsgH8LE8u6KPppulQjfwzhtdrA+8z13r99HWe4iIoijYJEI86S76VOD9HfkkwSDmi+f7PIU
mvx3U5L6ZD6Et/bbsX/WIwsXLBx0LntGHWoanq5TNaJK3nsC3VGsmfN5tq2QLbLpdcllp/LZQ8+n
9mL/xEW8Do2rri2snVYUYJrnhnu9jdAQB6f4vY/LDm1oPOU7s76NyHAebdyOGCSY1/Q6zRFN2HDX
4tsxd3XBHbRV7QJLx4qSuMq4iu6QREH4LfYKhzKLo9/SBU/HJtqgXjQgSaLCV6MEK69K7z2jtAAA
tzdPHvYpV+UQguwcHPE+7WqsKKAyuCB9/W7Y6HmirgzTzG9A1YLiTAb7PdedrTnJPS9a/UWKATKb
I6KLqnXckxjFTS7MR4Ek0fvUyzm5aGq3XRPPzvO6u3HmFZq31y2/IX8f91u/0cxdGti30gKL6DSk
LwJhx+8awhHkJ73qXjYR2eQ8uXL8Qq0pKLcnBr0QmhoPh6GkfsPh0AJrHMsWE+Z+uNNI4IMAomwc
oG/DCHyqYS94w12chcll6FB0ktRz3uNTatjtKqCCe+d6JJUG5RSXQ7nqUtO+16PxazuE/asu+3jj
x/x8Yix21nmJ7mKWqKPwHAs1cx/hKY9sdeTfhqZ8FH5T3cjQLw86KJvWrkCF5nxG/DF9rMr0Mmkp
DDdVY67bWBU7LzCqVRclFLT1ZEYGKkD4+Z1lGt1r1urgjRM1ARQskF5qtY9hiNUFaB3UBspKvrn7
SLjDW+0lsD+sVt+nQ761o1Z8GcvsVnWJetN7VKiRnLWv3UjpNy3MSOo8z41hmJd53yJ5gPtd1c2G
VrJlJNjrapO2mdji1WW/St4Zcwq0p94pp0PiWAg44j187I203lIbGnvgR5E+TTtqrfcjsvtbU4ES
6ixtvzwb3PAadANyD/bAEN+XUvxYlutZZ8Ll0Kxr1wNu02HbEeU+cI8syt9c13oioigfAhy8Lkmp
WpvAGDPUT9tdVhjp06QBaoUUwbg+rYcdlg/Rm/MNRI/9GhcZQ5YxIAjBOvPZBRsNWjV6AzRRbSPS
U+s89ATG5mb01RoQAdOb4NWUotjYZkhpMuyc+xarkQh6alyL6psd4YoevFgwW2DR5ijCGka+RVL0
h5GG7eugZSRpRG9daYNr3jt9/GR7Q4OrOHZCwovNy6aPh2tbice0rW8wa6teWyqTJGxzb4PmJYXp
mkSrFdM71Y7zARc3fOnapt2KyBOHThABpQArzaj66obXYU/fo3tuuW7z6jZQWnvICcCMzsi/pFV2
PZij9lK5bbe1JZIRtUe3LJxvAZLgt5kEzepRYN6DNQLR4SrvZVCCeps+POpTYgA6SocNWjHei5lE
r0Wti7sudyjcpQMD+LHOgc+W2qttlu9pMcr7wqljuMRtuunzsr3Q9F4hjWi86nYX3Q1yMIFold/g
svJzrJ8drR+3WYEsW8bofAMU1n6OojfksZtX6HPajhth7pdZk2hGteRE2KPxihS5K5CgGUz5rVLy
WTqJcYeu4e00dQ4K1vsBD2F05ciBT/NTsTKXFAIx0w0Sdsa6bHt/G+r82Hswf/Aco/FgBZ6+LvzI
v0ztJnlEqJkUqV69EEn5ewkFgjoZ9NflgaVwJyL9lnIEWIFM+gDcTbK2YiheeRS4m4X9F9VFW1I5
/gUSpvQSRl6RDCNZbBh0RNNsP11rxuWynPDc2kG0lftqPuOczS1wNoAZlOvoiOnA7ubdG3P+POpj
hMxUP30BDnKRoSL+EiVesq96N/zcPWv7C3t0uy8WEKPrCZrPOp13VyY8VhGM/VWf6tXXnC/+sju/
mH5Pxlb/nPWH5koajv3gqMa6RhdQrJarwoRotuIpwyvl9eEjOqCb5ary+f4EIgbtO59Fi/obMinJ
gxcN1Wm5b8tywByAnDOlLlFapnhcI6e+/FOirqFAJ8F22Ywc5ENqVd09mWMPXBi8iOUi7ZyfT4dP
zRHounoi4/t5VXztbFCDCQYo863AwvUpMngF4C50NyjkEyjPZ3El3zQYgP1R6BkWXfX1srg30/zC
EKr8PHmTt2++3mTEw20EQq5KPvcmY2huWnsMj3mga8/o8y4ns5StX5A7oOIlHT7QJvZinwZiSWe4
n05jXfI+MB7JLWu8FHmHZH8yFMmJAS0FeBR2V/VkBTA0cMPOAzXeZhTPyHQCGssXQ7llYdNFK4iI
/sRoosIMsFoR9QFjmJsk9xnlLJMazzEJcsSC0De49mcbbH0ITz06Twx1iK2IuVgBPjreIxYTrwbL
bjZNQDNVNiTBuWkCM4KUST4NE7kJ7eJZUS/Lqc4oYyh2eT85J5ui3+S5Dx3WUKvAtjMi6t59cBt0
pmSJZPiyFmxQcFeSgltWwk6YLhHVpx46QKC03EDswlGTaAkEmQWInYynlqnpTgffeMp78Ptzhdnx
KpSGHFB4pEPlbdvB2VKhiyMOnuM1GN96p3J32BnNDGu3dEBsFYy+TW8aFepbZQ9IQkx3tmb0hyaU
05Wrm9NVGQJ1xhLQX9nz7HmFb/bVCtJruGsmt0IF37WzTdyX+QqTe5hXhSAJbLRNufbChGBK6v5x
aVTf+Ee84EmELvOi9n+uAUdyNXVoPsoYCAuJx/AU8knnRdCt/DC05XsuSLwj4p6M/nDyU7SedWXk
NwD9cHPN5OUyR5rZs1dKqB/DYJiHZTMSjWjjNem4DeuwRhWQ4rxsKm3naPTS4OpZ2ON0v/ZsEWyt
tje3DB6mtSRuvKlmSze6cBSiY+C7bmSimzQ3yxSlXooWaP1/rnCNlZbF3jV1xPS0NHpPJh188VWf
1dnnIk83fq6MrW7vVaDs+rDeozSfXOkB4vSrZfLchJX+4lNaunPh3UHTLNYmLigIXVLqP+jCVFjJ
uhq4hDDsLzsNZlk1gpSw+Gdisrf+Bt5LfsE/90yJxjsJpRkbvXUk0MfE3ZtIQG4joWLCYVCVCFFZ
19Ok24/S/FJgaZO7ES8aJJeA5Ld1ZaikuopcwScqkT/AF5MlBu63tUID4x6FCqECw/aU5g/eoCY+
Jnxgxqmpb/mUkRIpNf2pmOytCvOXvq8Vxfz7bLTDD6uLdrE3fkl0k3gW0BfuPXa693tlf60MvhOD
vzEbx3qD7bnDnyWgRM5norBmEHPGQKrL/F3aRi4V/kA/LU2ajRe66t4bAjb4GW1XEYZ91B1lVRBi
EtqZ40THqIzVVpm+vDTsormxS0OuUd0av/k43kZUESPhe3fhBHSPaMD5gpZBt0288M3Qq/CglwCo
Kt+sD0rz1Y3XFP2mcvgoRdK5gZwbr5Sve999Svmd1tv3ZU7qHUwGJiiJ+0pGKlwDHMwfIhv+Z2N2
iCE0ycFnzPSITRl2trgug5AHlOuHrryHtJ1uvc67Q4Hc3Qxx07zn4RoWSHEDO+4tGS1KGnPTomy5
dXvIXZ7ZMeixgLNAvr7qUu2r5qrydhbL2kUBElMBdjsVGs23tRd8jXo/uXGsKgXjq+F9PtCnGmX3
gsJ0sU/oVky0D/eJ4edX0gY/6RJfJAA4bosqssFgupiI+iY2zjU6i6U9zqViZ23hhr3VNYeYNdbS
+1RvH1MAbie7iQEvggvY0c2Q0rd67RGugb22QOkcu446VNoX2UF6mr/WUse6NYJK7QvNdo915yF+
0aAOPQuztbMmWxqP5WVS2NS5pVyLpu66vRsN/WU8+9pms+ttZzsoEwaWu/elw6i+VPCmcLTRRPQ1
MuLoq28zYsxG/W5S2FPILLR3SPB0iJuSxo6N+q5Wvg3cMVmJbgoI1CoPZWxH2wVkQ1DgZ1kET6z1
QbwALkKuqHlKGtEg8amnt+0ENxrziTd9RGrWbrVwrfGU0Por4+56IG1+bSQAQepJY6iTaDeQXcdj
kzzEGoOiVeYitrA0UYJJ5DJlF063ybEIA0KO92EZjtV1WUoq/tDn7Ga2iJJ3nUS4QhWkwdKsF5gF
B5vJm7Q7YOExkv8QnBYZaxiP4drWGKFlBXG2DsLxNYP/V7RO/S0b+oJvcN1dIoy568VoXFdOacCm
8XS0k7XvmQt4xu8Hdcoyx78qetVsLL3G26JoGfSMdnzXrj0nC4k2G/8+STWxq6vGRrIlzB9hYCAc
CXxybyQGXFQLytIm6Rm/WIW+NkvLnyhYk7mKLfMkRZqh4dC2h9EuvZdGp2tJ1IsAH3eAuA6yfZq/
dEGQPHp632xFF1V7c54NzKrZtGUKa60wowfcIqBA2eNHNXRNhKK4TkoH4E64MZx+3PcCIKdhJQep
pdTRrOwbZ6i/JrZQO5v7GlCcvKgUtO4kzKfntJ+uUc9uXnHTusSAK75FRdVm3KcFW0iO8J3KZqcG
E/mEoUlusyHCqMa1qMQH5k2ny/S9scQ9CEf/ixn04lBmhbNDt3HcwyuPsTPMHPt6qCM+1w5u3k3r
UVn2cbet6ijZYm9TH2pWwHWV8L2w7LwU/VOW+cPDVImOwuOtmnpAJX37WuRp92HMFHpLNWqnIVUL
08yc8DsI9RuXD3ioWxF5Ke5tKtGI1338W5fGIK0C5INSuTln1IkCA5CK00g7zBnbpVF/Tf15/ef2
n+uUk2igNues8L8c8dc9/vPZlpMvh/rlqMvCX/dfTvOPpcuCZdVygH9Z/+v/xC+U//z8/573PR/q
923+/H+f91xOvRzyc89lzf/w3vzb//3Lul+O9svSf/zPf1735//n8w7/ed3ncT63OP+fv+7x+//4
uccQ+rOmgzjA1gEjlenVUQkstCDYMV8n4g+TIeN6RCBsP1kBI/Q3fg4RVIuD/FiC+fhslmUq1kVK
kMJqFUQUlH9fGvpkt0FZsutkDe7fJpdjBciIQFCYD/vLwfK8pO77+9LPg41zTWlZZchU7gy4mJ7s
SQ/PlqbG1m2RwF2az6UQlIDUGUtrBsamt1UEWoBCPwCwmiQ8AtflcZlK5p9/no/7UvLBXSWYcR3R
FKOEcp7/nITQ1VKdqb+hzET5bG5i0AmfU8usB09omoWbimMYkrYhec3k51I+msXRx4Xj59Lzrt5S
glvmPyfp0iBaAGBfBYhzF4d6uZK+lVz3sgBvplsf6viuUSE+ovNFLE1b7DTqa3BvJlEl22IuES1N
E6KwwweJ+TzvuYTzKu7Rz43Oy5K5GzrPLlPn7eK/9jgvO2+8LFs2+eWkoys5/7KqOl/K5wYiR7qn
AsNG/o5nMj+YZSqYiyXBNMUMb+Y1f1r92zKEpNg6WUorn8f4bXdjqbfMR/vc9Hy2ZfNf9vx991+u
BrVIOa2XBctWv2+6zJ/PtMwuJ/o8p8LUblWTABYeHrNNV12m2pWFDPfGRPtm61iDf1+Gg1olUpjI
1DPw8PTMQr0PV/TaMsYrSfy+9dsifbRCHEextcggqt0zAgetLWwU96YqfTAb+x6XkJ2V6vJbF+6R
OLVDgoHgusKGbsUPT3/Qd6VRWQ8E8uWFGWfDl7G1VmlQDPdxEgxfusahQpz5xUXgzmVVaV+DJIu2
aJv/GEbjKh9edQOThc6tc3SAGFh2EeUJsgAz2A44z3xIK2iwy/XKsVvHdQ6iA5n5e0BWzfWgvjRD
hfMwkOWrsp/gwXego9I0mg5x2G9qpxbf3HzCvSzN3TtKWkBw3e4jmkAmjVrc38WgydDG8VvQ5Oi3
TJb56hnJCToWY8t8em0qNDGgZICrrAMMomJ40YnMmn0GDOiIrLR17Ynse9/I5xT06teestseeeh+
g8xa+RW5EJSAzOminRzYZHpoP1heaz/gnYTMUZXeKdy27iDXkdX6wxtKpAJl7K8X+vwinLdepsh+
/Hy9//hWnvcL/nTEX34iuqvG7TQoqBZ6czSLvEVMn6lzQ1UJHNd5Po7seqsLPLmLUKIegyqINU+d
Z3UTLExc0M3XZEmQNonBLi4bLvPLlOcgdmbkQNTbTKff/esIyyYNSfufC8+7AJJjy/N8FaLUMSCq
uLEjP720Y5VdLlNZnGd4kYSroUGzqlQYpw+B3HeO0x4Kq42gVtJ4FHO3PmIaTRoOl0k/DpfS6O97
Z9i7pQuZ7q9GBHH3OasmwyKuHG+Wleflv23roFKEKMu8Wy3pOsth0i7QKSgP/lC3m4gkLsNhmtSP
WqpE1NKXWU/rpkPp+YhM/G35sgUO6DyH33Yr0ADYiFme3rb0Ypvw2dlElkIewZ+BBKSTfZ7djCRw
xuE2iUZjl3nt/13GeEsB1LDLi7litWymGsBnCYl7shDeAOkzEE9dZYMxlMZGC3GxXV69zkqRf4pn
DEU1DJ58HqBQHdwIkp9fh3vlktRD0yo7qLmMvzSinfkXyySp/YrudJ6Ps4i2nRecN/3cCMXXveYD
8BhmrfWOOuM21uxdE7n9Ee70cFQu3IV0RkQko22s58zxESuX4RhA7YY7hVjesvHSeEab5KtlEisV
cN+u7s+uFfqVsHyYnsAbTBDfx2YGtCwN9YoWXOc8j1VcM5EOYr09N+ctean4xWpBX+wSXDqOssC/
xx6qfQ62n4/3SCVubpbZ/7hsqGK8AwftMNiI1wD2lAN6AGTGOnkNj+ia4OXq/JWUHljR9fLBdGVh
5oflU/rLV9oJ+lcxjs2FjRbhlpoezql/XfYyVcwQiz8ta5f/Z1kjw4ZP4/L/L5t7XfQAxA7SBWD+
XSjreBvOL4DVEVEsb8Uy29uMj1bLq/E5uSxd1i9bFprG+qYdE+ibzr2k1oaGZojypI0xCCTpCyRZ
sYzAFgUgjDVWX5b5QMLDsxv7sKyIil4/LssbV4OYv8zLxKUY9Lm32TrIeTnYhONp83M9w3LbXCct
VDVfj4+m1Zt7R6KNBJqOiqc9oyasUrY5FGNQFCAm40OYxPtlRT4hKpNPzmFZtyxaptx5r2UWKsWT
myDyiKedt471JN4FOmw+Z+4Hzs1vy8gJoEOiiHwhbsXeZtlw6U9+2xCDKxj8Gh4tjpchzDhqX5b7
+XmTz/f3t2eybLMsW5rP57L8ejuMO3YYC9zHXVYfQXzBxZoezEqrj14xI9yXScSBh3XvBSBc5zX2
3CxTS4MWFhH1ef68TTvZzrYEi7uPHM3B3S1DNHQAS/7bh4b8GQJiw+g3x8/1WunNHGWEEEHODDAo
1aXdBejU1FY2Ho2gZbLX7HvXqfvdsmxpGtWNx/PseZneCRLmWpBFF0bvx7sB9JXmJeaViVRQS1K/
ICGyznM90rZhoUi/ukO80fklHpUEpIXu66sZFca0hW1FLinbT2lyCiltHL0FD+fPEfvStMqAILVM
fq7KyowgdsHOOUYbHyeqEjbyKFp5COdRA/pthNfKMjfdBM2yBNtHoD0PcnRgyJvKRu9nmscxhmpY
8/vksqWdwrAHMNO5q9ZIkRPDLI4EAUXvLHHFHiGgguEcTWuO94kmp01YxbsK7uRFoh7qKUbktbWx
NRRq2jZzoA7eLdpEE0J3Ur7DwglgkdSocJ2vYTlxPoHNpc8FITCPEpZGzvsvB4nEHL8vC9u+u8+R
Z+MXcZiaKF8vN+/3O/g5/3+4u7YeRbEg/Ff8AxIuB5CXSXa7nXY6m9nsdCeb2ReDygAtF7mJ+Ov3
qzrgQOu4TngYsySaI2Cdqjp1blBVH215uMRaVLfGHn795Q6vtTslcxxqmoUI96KbWbnoes97Ef/d
APq5KA4PrCgzQf6gg76fT3MdyBoZbXxkMaDtz0EEFnZeRKNXPC53eGOeLfG8dBYugFacICUsuQvS
V8A7NP5dIosW3k8sF6wKrk+2HhcLUgiXcvKgjA++LlXBqimCsHzcJXqJDDoYP2nF7DQZotkjOIMg
UaSO5DN4zQW4jeTZiMsXU7zFH2f89KdCbNgcE9s/Ne+oWSsNnoHPERZvE7oWsnjQqzakYtSRbLK2
Zk8sYauqyi2P+QHLhD1yrbLmWM3g6jkAVnWDNnYQKEm2zRccrcL6X38DTt3pnHT/hOuF/zjNkbiT
b4Rv2QYvvTNEKDb1pwSretIAW8MUAC4LR6sf6iOgLRf+borcylb2xP9DYp0Qb0WQLoB/vu9QlPMp
oocSMVWPOA9nnsVV/WkHgC3qP1OkBwZkgPZ0aGKE9wC+BKGcsEDTjqNHNVCb1gBP9qkDuAHZZdk2
uS0kU8ytNBptC9dFLvJJ/uI7uQSHfOzjvFkZ23/tKkQmmclXH/HLczaDWSgSBIYigRrnZy0/8tkl
PdWwq3L6VNg7hBnXKjI/EJdv/ECLxwCRLWfxgotQoHmcc+PLIrKb+8+mWJVLuMuGPsBpDrSvt98A
9wa3D2RjpXPfLzTlEq8Tj0hflGkYzzMrhuthg2facQSnOv81QExW8HpQjWrRyNT2/xun8B5qxhkW
xgkMgjy6GQPnFX6E5RBN46abOpSJy4RuA9cwAFcBt/CBmzkzxdAe12hELniuNsDfsAwFDoxAwBCa
wwf8uKM08dvLUyS9UUy4oCMxANzMUVVPPT9SwHXZvnjvIUfO6VzjXeKOELiI0FXCgRgnv6kI1RBC
N5AxnA74uffldyxFtYQwDc2Q1+FRf2dacAzJk8xgfzKonzACUyimRagofck13VSQ2t40hX53La8b
qj1WaGEpJsIXLATKSMsHxEBffstSNHtmWMjrJK9DP/fV8vqFMJOf7f9oesdQkQZKYKtCx7v+79iK
MDQ8bgNCDh93Zwuaao8dBExYugU12HYrJEbVvikAywSDoIaIF0L0uTMjMGYCY9aoQVCYCBvCGsgC
dBEfwDXqy0+ThIogJLaOXyL+OgVKQt588fwwTfpRUwZ67S2yvyPQmwB1xbSFrsFbWMp+PgFYqu2g
C1gn3dyqghvmytNiAd4W0YbXEqFX9LC5/vOGbrY9J9DOojRVQk2D+wi2S1KW0yn9/jBA8eKJvnex
m/i5mvbvrXznNQ/q6oTqTi5CL3fzddDwhablUsKB/RatvLx0+y0s+/d3Ts7Qxk7Nf43w7zn8E4tg
8pBGVbwKBzUAWRndemwN12L6fgyVdhPzn716goTsSVGH623HKcOryXlwLOug/w0dbEPgaxP6/OGu
cneT5sO6AA3VnbgI+3abLCkw2SiScfLq5WgUZDjxio6slIkjGkfLlO7dyQvANodtjXUeDZdjqf+Z
lG4eph0h5hsrZCwRxlK+FRBvpElhhFl5645d5t9WCUVpLP8vbrF1y3Xg1e5goAZ6Gq0jx5L/Wm2B
QNqZTtMRJAHa7dDYGj5Xibuvyj7ldqNxnfKlwfC0XTofIrtt0KW/DYd/umMdeW7+4V8AAAD//w==
</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svg"/><Relationship Id="rId5" Type="http://schemas.openxmlformats.org/officeDocument/2006/relationships/image" Target="../media/image3.png"/><Relationship Id="rId10" Type="http://schemas.microsoft.com/office/2014/relationships/chartEx" Target="../charts/chartEx1.xml"/><Relationship Id="rId4" Type="http://schemas.openxmlformats.org/officeDocument/2006/relationships/hyperlink" Target="#Datatable!A1"/><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0</xdr:col>
      <xdr:colOff>749300</xdr:colOff>
      <xdr:row>12</xdr:row>
      <xdr:rowOff>177800</xdr:rowOff>
    </xdr:from>
    <xdr:to>
      <xdr:col>2</xdr:col>
      <xdr:colOff>774700</xdr:colOff>
      <xdr:row>24</xdr:row>
      <xdr:rowOff>171897</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49300" y="3314148"/>
              <a:ext cx="1836530" cy="23775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39</xdr:col>
      <xdr:colOff>9388</xdr:colOff>
      <xdr:row>12</xdr:row>
      <xdr:rowOff>129209</xdr:rowOff>
    </xdr:from>
    <xdr:to>
      <xdr:col>40</xdr:col>
      <xdr:colOff>728293</xdr:colOff>
      <xdr:row>24</xdr:row>
      <xdr:rowOff>174658</xdr:rowOff>
    </xdr:to>
    <mc:AlternateContent xmlns:mc="http://schemas.openxmlformats.org/markup-compatibility/2006" xmlns:a14="http://schemas.microsoft.com/office/drawing/2010/main">
      <mc:Choice Requires="a14">
        <xdr:graphicFrame macro="">
          <xdr:nvGraphicFramePr>
            <xdr:cNvPr id="6" name="Driver Name">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Driver Name"/>
            </a:graphicData>
          </a:graphic>
        </xdr:graphicFrame>
      </mc:Choice>
      <mc:Fallback xmlns="">
        <xdr:sp macro="" textlink="">
          <xdr:nvSpPr>
            <xdr:cNvPr id="0" name=""/>
            <xdr:cNvSpPr>
              <a:spLocks noTextEdit="1"/>
            </xdr:cNvSpPr>
          </xdr:nvSpPr>
          <xdr:spPr>
            <a:xfrm>
              <a:off x="35823388" y="3265557"/>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461280</xdr:colOff>
      <xdr:row>51</xdr:row>
      <xdr:rowOff>15302</xdr:rowOff>
    </xdr:to>
    <xdr:grpSp>
      <xdr:nvGrpSpPr>
        <xdr:cNvPr id="1107" name="Group 1106">
          <a:extLst>
            <a:ext uri="{FF2B5EF4-FFF2-40B4-BE49-F238E27FC236}">
              <a16:creationId xmlns:a16="http://schemas.microsoft.com/office/drawing/2014/main" id="{8FA590A0-81B9-07D9-A835-9A1CE69225D0}"/>
            </a:ext>
          </a:extLst>
        </xdr:cNvPr>
        <xdr:cNvGrpSpPr/>
      </xdr:nvGrpSpPr>
      <xdr:grpSpPr>
        <a:xfrm>
          <a:off x="0" y="0"/>
          <a:ext cx="17055947" cy="9514902"/>
          <a:chOff x="135467" y="0"/>
          <a:chExt cx="17055947" cy="9514902"/>
        </a:xfrm>
      </xdr:grpSpPr>
      <xdr:grpSp>
        <xdr:nvGrpSpPr>
          <xdr:cNvPr id="6" name="Group 5">
            <a:extLst>
              <a:ext uri="{FF2B5EF4-FFF2-40B4-BE49-F238E27FC236}">
                <a16:creationId xmlns:a16="http://schemas.microsoft.com/office/drawing/2014/main" id="{00000000-0008-0000-0300-000006000000}"/>
              </a:ext>
            </a:extLst>
          </xdr:cNvPr>
          <xdr:cNvGrpSpPr/>
        </xdr:nvGrpSpPr>
        <xdr:grpSpPr>
          <a:xfrm>
            <a:off x="135467" y="0"/>
            <a:ext cx="17055947" cy="9514902"/>
            <a:chOff x="0" y="0"/>
            <a:chExt cx="17222846" cy="9453494"/>
          </a:xfrm>
        </xdr:grpSpPr>
        <xdr:sp macro="" textlink="">
          <xdr:nvSpPr>
            <xdr:cNvPr id="2" name="Rectangle 1">
              <a:extLst>
                <a:ext uri="{FF2B5EF4-FFF2-40B4-BE49-F238E27FC236}">
                  <a16:creationId xmlns:a16="http://schemas.microsoft.com/office/drawing/2014/main" id="{00000000-0008-0000-0300-000002000000}"/>
                </a:ext>
              </a:extLst>
            </xdr:cNvPr>
            <xdr:cNvSpPr/>
          </xdr:nvSpPr>
          <xdr:spPr>
            <a:xfrm>
              <a:off x="0" y="0"/>
              <a:ext cx="17209008" cy="7891311"/>
            </a:xfrm>
            <a:prstGeom prst="rect">
              <a:avLst/>
            </a:prstGeom>
            <a:gradFill flip="none" rotWithShape="1">
              <a:gsLst>
                <a:gs pos="41000">
                  <a:srgbClr val="F9D7AB"/>
                </a:gs>
                <a:gs pos="85000">
                  <a:srgbClr val="D3BABF"/>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300-000003000000}"/>
                </a:ext>
              </a:extLst>
            </xdr:cNvPr>
            <xdr:cNvSpPr/>
          </xdr:nvSpPr>
          <xdr:spPr>
            <a:xfrm>
              <a:off x="13838" y="1001273"/>
              <a:ext cx="17209008" cy="8452221"/>
            </a:xfrm>
            <a:prstGeom prst="rect">
              <a:avLst/>
            </a:prstGeom>
            <a:gradFill flip="none" rotWithShape="1">
              <a:gsLst>
                <a:gs pos="53000">
                  <a:schemeClr val="bg1">
                    <a:lumMod val="65000"/>
                  </a:schemeClr>
                </a:gs>
                <a:gs pos="100000">
                  <a:schemeClr val="bg1">
                    <a:alpha val="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 name="Rectangle 9">
            <a:extLst>
              <a:ext uri="{FF2B5EF4-FFF2-40B4-BE49-F238E27FC236}">
                <a16:creationId xmlns:a16="http://schemas.microsoft.com/office/drawing/2014/main" id="{00000000-0008-0000-0300-00000A000000}"/>
              </a:ext>
            </a:extLst>
          </xdr:cNvPr>
          <xdr:cNvSpPr/>
        </xdr:nvSpPr>
        <xdr:spPr>
          <a:xfrm>
            <a:off x="433468" y="711200"/>
            <a:ext cx="16427210" cy="8431169"/>
          </a:xfrm>
          <a:prstGeom prst="rect">
            <a:avLst/>
          </a:prstGeom>
          <a:gradFill flip="none" rotWithShape="1">
            <a:gsLst>
              <a:gs pos="10000">
                <a:srgbClr val="F8E7D4"/>
              </a:gs>
              <a:gs pos="100000">
                <a:schemeClr val="bg1">
                  <a:alpha val="38000"/>
                </a:schemeClr>
              </a:gs>
            </a:gsLst>
            <a:path path="shap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9" name="Rounded Rectangle 1068">
            <a:extLst>
              <a:ext uri="{FF2B5EF4-FFF2-40B4-BE49-F238E27FC236}">
                <a16:creationId xmlns:a16="http://schemas.microsoft.com/office/drawing/2014/main" id="{00000000-0008-0000-0300-00002D040000}"/>
              </a:ext>
            </a:extLst>
          </xdr:cNvPr>
          <xdr:cNvSpPr/>
        </xdr:nvSpPr>
        <xdr:spPr>
          <a:xfrm>
            <a:off x="7367644" y="5849427"/>
            <a:ext cx="5637535" cy="2981609"/>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ound Same Side Corner Rectangle 8">
            <a:extLst>
              <a:ext uri="{FF2B5EF4-FFF2-40B4-BE49-F238E27FC236}">
                <a16:creationId xmlns:a16="http://schemas.microsoft.com/office/drawing/2014/main" id="{00000000-0008-0000-0300-000009000000}"/>
              </a:ext>
            </a:extLst>
          </xdr:cNvPr>
          <xdr:cNvSpPr/>
        </xdr:nvSpPr>
        <xdr:spPr>
          <a:xfrm>
            <a:off x="444500" y="325967"/>
            <a:ext cx="16434139" cy="393869"/>
          </a:xfrm>
          <a:prstGeom prst="round2SameRect">
            <a:avLst>
              <a:gd name="adj1" fmla="val 41919"/>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609600" y="385233"/>
            <a:ext cx="3577167" cy="325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latin typeface="Times New Roman" panose="02020603050405020304" pitchFamily="18" charset="0"/>
                <a:ea typeface="Baskerville" panose="02020502070401020303" pitchFamily="18" charset="0"/>
                <a:cs typeface="Times New Roman" panose="02020603050405020304" pitchFamily="18" charset="0"/>
              </a:rPr>
              <a:t>Supply Chain and Freight Analytics Dashboard</a:t>
            </a:r>
          </a:p>
          <a:p>
            <a:endParaRPr lang="en-US" sz="11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4267452" y="379721"/>
            <a:ext cx="2476500" cy="314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https://gracet33.github.io/portfolio/</a:t>
            </a:r>
          </a:p>
        </xdr:txBody>
      </xdr:sp>
      <xdr:sp macro="" textlink="Pivottable!D6">
        <xdr:nvSpPr>
          <xdr:cNvPr id="16" name="TextBox 15">
            <a:extLst>
              <a:ext uri="{FF2B5EF4-FFF2-40B4-BE49-F238E27FC236}">
                <a16:creationId xmlns:a16="http://schemas.microsoft.com/office/drawing/2014/main" id="{00000000-0008-0000-0300-000010000000}"/>
              </a:ext>
            </a:extLst>
          </xdr:cNvPr>
          <xdr:cNvSpPr txBox="1"/>
        </xdr:nvSpPr>
        <xdr:spPr>
          <a:xfrm>
            <a:off x="1351312" y="1130007"/>
            <a:ext cx="1253546" cy="321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37B48D-AEA5-4249-B460-8764B0EF66C8}" type="TxLink">
              <a:rPr lang="en-US" sz="2200" b="1" i="0" u="none" strike="noStrike">
                <a:solidFill>
                  <a:srgbClr val="000000"/>
                </a:solidFill>
                <a:latin typeface="Times New Roman" panose="02020603050405020304" pitchFamily="18" charset="0"/>
                <a:ea typeface="Baskerville" panose="02020502070401020303" pitchFamily="18" charset="0"/>
                <a:cs typeface="Times New Roman" panose="02020603050405020304" pitchFamily="18" charset="0"/>
              </a:rPr>
              <a:pPr algn="l"/>
              <a:t>264,193</a:t>
            </a:fld>
            <a:endParaRPr lang="en-US" sz="2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280225" y="1425808"/>
            <a:ext cx="1316807" cy="320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rPr>
              <a:t>Monthly Balance</a:t>
            </a:r>
            <a:endParaRPr lang="en-US" sz="11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nvGrpSpPr>
          <xdr:cNvPr id="26" name="Group 25">
            <a:extLst>
              <a:ext uri="{FF2B5EF4-FFF2-40B4-BE49-F238E27FC236}">
                <a16:creationId xmlns:a16="http://schemas.microsoft.com/office/drawing/2014/main" id="{00000000-0008-0000-0300-00001A000000}"/>
              </a:ext>
            </a:extLst>
          </xdr:cNvPr>
          <xdr:cNvGrpSpPr/>
        </xdr:nvGrpSpPr>
        <xdr:grpSpPr>
          <a:xfrm>
            <a:off x="770686" y="1707000"/>
            <a:ext cx="2537880" cy="676688"/>
            <a:chOff x="740206" y="1909604"/>
            <a:chExt cx="1996523" cy="333739"/>
          </a:xfrm>
        </xdr:grpSpPr>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740206" y="1910824"/>
              <a:ext cx="1078972" cy="33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bg2">
                      <a:lumMod val="25000"/>
                    </a:schemeClr>
                  </a:solidFill>
                  <a:latin typeface="Times New Roman" panose="02020603050405020304" pitchFamily="18" charset="0"/>
                  <a:cs typeface="Times New Roman" panose="02020603050405020304" pitchFamily="18" charset="0"/>
                </a:rPr>
                <a:t>Year</a:t>
              </a:r>
              <a:r>
                <a:rPr lang="en-US" sz="1400" b="1" baseline="0">
                  <a:solidFill>
                    <a:schemeClr val="bg2">
                      <a:lumMod val="25000"/>
                    </a:schemeClr>
                  </a:solidFill>
                  <a:latin typeface="Times New Roman" panose="02020603050405020304" pitchFamily="18" charset="0"/>
                  <a:cs typeface="Times New Roman" panose="02020603050405020304" pitchFamily="18" charset="0"/>
                </a:rPr>
                <a:t> to Date</a:t>
              </a:r>
              <a:endParaRPr lang="en-US" sz="1200" b="1">
                <a:solidFill>
                  <a:schemeClr val="bg2">
                    <a:lumMod val="25000"/>
                  </a:schemeClr>
                </a:solidFill>
                <a:latin typeface="Times New Roman" panose="02020603050405020304" pitchFamily="18" charset="0"/>
                <a:cs typeface="Times New Roman" panose="02020603050405020304" pitchFamily="18" charset="0"/>
              </a:endParaRPr>
            </a:p>
          </xdr:txBody>
        </xdr:sp>
        <xdr:sp macro="" textlink="Pivottable!G6">
          <xdr:nvSpPr>
            <xdr:cNvPr id="24" name="TextBox 23">
              <a:extLst>
                <a:ext uri="{FF2B5EF4-FFF2-40B4-BE49-F238E27FC236}">
                  <a16:creationId xmlns:a16="http://schemas.microsoft.com/office/drawing/2014/main" id="{00000000-0008-0000-0300-000018000000}"/>
                </a:ext>
              </a:extLst>
            </xdr:cNvPr>
            <xdr:cNvSpPr txBox="1"/>
          </xdr:nvSpPr>
          <xdr:spPr>
            <a:xfrm>
              <a:off x="1630057" y="1909604"/>
              <a:ext cx="1106672" cy="33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38F91B4-4796-FC43-9C75-BBF16FBDE944}" type="TxLink">
                <a:rPr lang="en-US" sz="1400" b="1" i="0" u="none" strike="noStrike">
                  <a:solidFill>
                    <a:schemeClr val="bg2">
                      <a:lumMod val="25000"/>
                    </a:schemeClr>
                  </a:solidFill>
                  <a:latin typeface="Times New Roman" panose="02020603050405020304" pitchFamily="18" charset="0"/>
                  <a:cs typeface="Times New Roman" panose="02020603050405020304" pitchFamily="18" charset="0"/>
                </a:rPr>
                <a:pPr algn="l"/>
                <a:t>$264,193</a:t>
              </a:fld>
              <a:endParaRPr lang="en-US" sz="1200" b="1">
                <a:solidFill>
                  <a:schemeClr val="bg2">
                    <a:lumMod val="25000"/>
                  </a:schemeClr>
                </a:solidFill>
                <a:latin typeface="Times New Roman" panose="02020603050405020304" pitchFamily="18" charset="0"/>
                <a:cs typeface="Times New Roman" panose="02020603050405020304" pitchFamily="18" charset="0"/>
              </a:endParaRPr>
            </a:p>
          </xdr:txBody>
        </xdr:sp>
      </xdr:grpSp>
      <xdr:grpSp>
        <xdr:nvGrpSpPr>
          <xdr:cNvPr id="59" name="Group 58">
            <a:extLst>
              <a:ext uri="{FF2B5EF4-FFF2-40B4-BE49-F238E27FC236}">
                <a16:creationId xmlns:a16="http://schemas.microsoft.com/office/drawing/2014/main" id="{00000000-0008-0000-0300-00003B000000}"/>
              </a:ext>
            </a:extLst>
          </xdr:cNvPr>
          <xdr:cNvGrpSpPr/>
        </xdr:nvGrpSpPr>
        <xdr:grpSpPr>
          <a:xfrm>
            <a:off x="3965510" y="1897873"/>
            <a:ext cx="1705187" cy="1803353"/>
            <a:chOff x="3989960" y="1321501"/>
            <a:chExt cx="1695261" cy="1832677"/>
          </a:xfrm>
        </xdr:grpSpPr>
        <xdr:sp macro="" textlink="">
          <xdr:nvSpPr>
            <xdr:cNvPr id="27" name="Rounded Rectangle 26">
              <a:extLst>
                <a:ext uri="{FF2B5EF4-FFF2-40B4-BE49-F238E27FC236}">
                  <a16:creationId xmlns:a16="http://schemas.microsoft.com/office/drawing/2014/main" id="{00000000-0008-0000-0300-00001B000000}"/>
                </a:ext>
              </a:extLst>
            </xdr:cNvPr>
            <xdr:cNvSpPr/>
          </xdr:nvSpPr>
          <xdr:spPr>
            <a:xfrm>
              <a:off x="3989960" y="1321501"/>
              <a:ext cx="1695261" cy="183267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B6">
          <xdr:nvSpPr>
            <xdr:cNvPr id="28" name="TextBox 27">
              <a:extLst>
                <a:ext uri="{FF2B5EF4-FFF2-40B4-BE49-F238E27FC236}">
                  <a16:creationId xmlns:a16="http://schemas.microsoft.com/office/drawing/2014/main" id="{00000000-0008-0000-0300-00001C000000}"/>
                </a:ext>
              </a:extLst>
            </xdr:cNvPr>
            <xdr:cNvSpPr txBox="1"/>
          </xdr:nvSpPr>
          <xdr:spPr>
            <a:xfrm>
              <a:off x="4132537" y="2369425"/>
              <a:ext cx="1108482" cy="325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B5B98B-ED43-7A48-8195-C3B322A7B33D}" type="TxLink">
                <a:rPr lang="en-US" sz="1800" b="1" i="0" u="none" strike="noStrike">
                  <a:solidFill>
                    <a:schemeClr val="tx1">
                      <a:lumMod val="85000"/>
                      <a:lumOff val="15000"/>
                    </a:schemeClr>
                  </a:solidFill>
                  <a:latin typeface="Times New Roman" panose="02020603050405020304" pitchFamily="18" charset="0"/>
                  <a:cs typeface="Times New Roman" panose="02020603050405020304" pitchFamily="18" charset="0"/>
                </a:rPr>
                <a:pPr algn="l"/>
                <a:t>$359,038</a:t>
              </a:fld>
              <a:endParaRPr lang="en-US" sz="1600" b="1">
                <a:solidFill>
                  <a:schemeClr val="tx1">
                    <a:lumMod val="85000"/>
                    <a:lumOff val="15000"/>
                  </a:schemeClr>
                </a:solidFill>
                <a:latin typeface="Times New Roman" panose="02020603050405020304" pitchFamily="18" charset="0"/>
                <a:cs typeface="Times New Roman" panose="02020603050405020304" pitchFamily="18" charset="0"/>
              </a:endParaRPr>
            </a:p>
          </xdr:txBody>
        </xdr:sp>
        <xdr:sp macro="" textlink="Pivottable!B7">
          <xdr:nvSpPr>
            <xdr:cNvPr id="29" name="TextBox 28">
              <a:extLst>
                <a:ext uri="{FF2B5EF4-FFF2-40B4-BE49-F238E27FC236}">
                  <a16:creationId xmlns:a16="http://schemas.microsoft.com/office/drawing/2014/main" id="{00000000-0008-0000-0300-00001D000000}"/>
                </a:ext>
              </a:extLst>
            </xdr:cNvPr>
            <xdr:cNvSpPr txBox="1"/>
          </xdr:nvSpPr>
          <xdr:spPr>
            <a:xfrm>
              <a:off x="4254457" y="2688006"/>
              <a:ext cx="1108482" cy="329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E66578C-47B0-4643-9D4D-C0F6D0CC4392}" type="TxLink">
                <a:rPr lang="en-US" sz="1100" b="0" i="0" u="none" strike="noStrike">
                  <a:solidFill>
                    <a:srgbClr val="808080"/>
                  </a:solidFill>
                  <a:latin typeface="Arial"/>
                  <a:cs typeface="Arial"/>
                </a:rPr>
                <a:pPr algn="l"/>
                <a:t>79%</a:t>
              </a:fld>
              <a:endParaRPr lang="en-US" sz="1200" b="1">
                <a:solidFill>
                  <a:schemeClr val="bg2">
                    <a:lumMod val="25000"/>
                  </a:schemeClr>
                </a:solidFill>
                <a:latin typeface="Times New Roman" panose="02020603050405020304" pitchFamily="18" charset="0"/>
                <a:cs typeface="Times New Roman" panose="02020603050405020304" pitchFamily="18" charset="0"/>
              </a:endParaRPr>
            </a:p>
          </xdr:txBody>
        </xdr:sp>
        <xdr:sp macro="" textlink="">
          <xdr:nvSpPr>
            <xdr:cNvPr id="5" name="Rounded Rectangle 4">
              <a:extLst>
                <a:ext uri="{FF2B5EF4-FFF2-40B4-BE49-F238E27FC236}">
                  <a16:creationId xmlns:a16="http://schemas.microsoft.com/office/drawing/2014/main" id="{00000000-0008-0000-0300-000005000000}"/>
                </a:ext>
              </a:extLst>
            </xdr:cNvPr>
            <xdr:cNvSpPr/>
          </xdr:nvSpPr>
          <xdr:spPr>
            <a:xfrm>
              <a:off x="4205131" y="1558801"/>
              <a:ext cx="852202" cy="321850"/>
            </a:xfrm>
            <a:prstGeom prst="roundRect">
              <a:avLst>
                <a:gd name="adj" fmla="val 4839"/>
              </a:avLst>
            </a:prstGeom>
            <a:solidFill>
              <a:srgbClr val="38963F">
                <a:alpha val="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215290" y="1599297"/>
              <a:ext cx="702177" cy="270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accent6">
                      <a:lumMod val="50000"/>
                    </a:schemeClr>
                  </a:solidFill>
                  <a:latin typeface="Times New Roman" panose="02020603050405020304" pitchFamily="18" charset="0"/>
                  <a:ea typeface="Baskerville" panose="02020502070401020303" pitchFamily="18" charset="0"/>
                  <a:cs typeface="Times New Roman" panose="02020603050405020304" pitchFamily="18" charset="0"/>
                </a:rPr>
                <a:t>Income</a:t>
              </a:r>
            </a:p>
            <a:p>
              <a:endParaRPr lang="en-US" sz="1100" b="1">
                <a:solidFill>
                  <a:schemeClr val="accent6">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60" name="Group 59">
            <a:extLst>
              <a:ext uri="{FF2B5EF4-FFF2-40B4-BE49-F238E27FC236}">
                <a16:creationId xmlns:a16="http://schemas.microsoft.com/office/drawing/2014/main" id="{00000000-0008-0000-0300-00003C000000}"/>
              </a:ext>
            </a:extLst>
          </xdr:cNvPr>
          <xdr:cNvGrpSpPr/>
        </xdr:nvGrpSpPr>
        <xdr:grpSpPr>
          <a:xfrm>
            <a:off x="6007670" y="1887713"/>
            <a:ext cx="1705187" cy="1803353"/>
            <a:chOff x="6017231" y="1311341"/>
            <a:chExt cx="1695260" cy="1832677"/>
          </a:xfrm>
        </xdr:grpSpPr>
        <xdr:sp macro="" textlink="">
          <xdr:nvSpPr>
            <xdr:cNvPr id="11" name="Rounded Rectangle 10">
              <a:extLst>
                <a:ext uri="{FF2B5EF4-FFF2-40B4-BE49-F238E27FC236}">
                  <a16:creationId xmlns:a16="http://schemas.microsoft.com/office/drawing/2014/main" id="{00000000-0008-0000-0300-00000B000000}"/>
                </a:ext>
              </a:extLst>
            </xdr:cNvPr>
            <xdr:cNvSpPr/>
          </xdr:nvSpPr>
          <xdr:spPr>
            <a:xfrm>
              <a:off x="6017231" y="1311341"/>
              <a:ext cx="1695260" cy="183267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C6">
          <xdr:nvSpPr>
            <xdr:cNvPr id="12" name="TextBox 11">
              <a:extLst>
                <a:ext uri="{FF2B5EF4-FFF2-40B4-BE49-F238E27FC236}">
                  <a16:creationId xmlns:a16="http://schemas.microsoft.com/office/drawing/2014/main" id="{00000000-0008-0000-0300-00000C000000}"/>
                </a:ext>
              </a:extLst>
            </xdr:cNvPr>
            <xdr:cNvSpPr txBox="1"/>
          </xdr:nvSpPr>
          <xdr:spPr>
            <a:xfrm>
              <a:off x="6168157" y="2369425"/>
              <a:ext cx="1108482" cy="325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6BB240E-DC87-F242-ADA9-1F659C4EF40A}" type="TxLink">
                <a:rPr lang="en-US" sz="1800" b="1" i="0" u="none" strike="noStrike">
                  <a:solidFill>
                    <a:schemeClr val="tx1">
                      <a:lumMod val="85000"/>
                      <a:lumOff val="15000"/>
                    </a:schemeClr>
                  </a:solidFill>
                  <a:latin typeface="Times New Roman" panose="02020603050405020304" pitchFamily="18" charset="0"/>
                  <a:cs typeface="Times New Roman" panose="02020603050405020304" pitchFamily="18" charset="0"/>
                </a:rPr>
                <a:pPr algn="l"/>
                <a:t>$94,845</a:t>
              </a:fld>
              <a:endParaRPr lang="en-US" sz="1800" b="1">
                <a:solidFill>
                  <a:schemeClr val="tx1">
                    <a:lumMod val="85000"/>
                    <a:lumOff val="15000"/>
                  </a:schemeClr>
                </a:solidFill>
                <a:latin typeface="Times New Roman" panose="02020603050405020304" pitchFamily="18" charset="0"/>
                <a:cs typeface="Times New Roman" panose="02020603050405020304" pitchFamily="18" charset="0"/>
              </a:endParaRPr>
            </a:p>
          </xdr:txBody>
        </xdr:sp>
        <xdr:sp macro="" textlink="Pivottable!C7">
          <xdr:nvSpPr>
            <xdr:cNvPr id="15" name="TextBox 14">
              <a:extLst>
                <a:ext uri="{FF2B5EF4-FFF2-40B4-BE49-F238E27FC236}">
                  <a16:creationId xmlns:a16="http://schemas.microsoft.com/office/drawing/2014/main" id="{00000000-0008-0000-0300-00000F000000}"/>
                </a:ext>
              </a:extLst>
            </xdr:cNvPr>
            <xdr:cNvSpPr txBox="1"/>
          </xdr:nvSpPr>
          <xdr:spPr>
            <a:xfrm>
              <a:off x="6279917" y="2677846"/>
              <a:ext cx="1108482" cy="329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0130EEC-25D0-774A-9BB8-C63F12D59D5A}" type="TxLink">
                <a:rPr lang="en-US" sz="1100" b="0" i="0" u="none" strike="noStrike">
                  <a:solidFill>
                    <a:srgbClr val="808080"/>
                  </a:solidFill>
                  <a:latin typeface="Arial"/>
                  <a:cs typeface="Arial"/>
                </a:rPr>
                <a:pPr algn="l"/>
                <a:t>21%</a:t>
              </a:fld>
              <a:endParaRPr lang="en-US" sz="1200" b="1">
                <a:solidFill>
                  <a:schemeClr val="bg2">
                    <a:lumMod val="25000"/>
                  </a:schemeClr>
                </a:solidFill>
                <a:latin typeface="Times New Roman" panose="02020603050405020304" pitchFamily="18" charset="0"/>
                <a:cs typeface="Times New Roman" panose="02020603050405020304" pitchFamily="18" charset="0"/>
              </a:endParaRPr>
            </a:p>
          </xdr:txBody>
        </xdr:sp>
        <xdr:sp macro="" textlink="">
          <xdr:nvSpPr>
            <xdr:cNvPr id="20" name="Rounded Rectangle 19">
              <a:extLst>
                <a:ext uri="{FF2B5EF4-FFF2-40B4-BE49-F238E27FC236}">
                  <a16:creationId xmlns:a16="http://schemas.microsoft.com/office/drawing/2014/main" id="{00000000-0008-0000-0300-000014000000}"/>
                </a:ext>
              </a:extLst>
            </xdr:cNvPr>
            <xdr:cNvSpPr/>
          </xdr:nvSpPr>
          <xdr:spPr>
            <a:xfrm>
              <a:off x="6230591" y="1548641"/>
              <a:ext cx="852202" cy="321850"/>
            </a:xfrm>
            <a:prstGeom prst="roundRect">
              <a:avLst>
                <a:gd name="adj" fmla="val 4839"/>
              </a:avLst>
            </a:prstGeom>
            <a:solidFill>
              <a:schemeClr val="accent2">
                <a:lumMod val="60000"/>
                <a:lumOff val="40000"/>
                <a:alpha val="9804"/>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C55A11"/>
                </a:solidFill>
              </a:endParaRPr>
            </a:p>
          </xdr:txBody>
        </xdr: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6230591" y="1609601"/>
              <a:ext cx="824770" cy="210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accent2">
                      <a:lumMod val="75000"/>
                    </a:schemeClr>
                  </a:solidFill>
                  <a:latin typeface="Times New Roman" panose="02020603050405020304" pitchFamily="18" charset="0"/>
                  <a:ea typeface="Baskerville" panose="02020502070401020303" pitchFamily="18" charset="0"/>
                  <a:cs typeface="Times New Roman" panose="02020603050405020304" pitchFamily="18" charset="0"/>
                </a:rPr>
                <a:t>Expenses</a:t>
              </a:r>
            </a:p>
            <a:p>
              <a:endParaRPr lang="en-US" sz="1100" b="1">
                <a:solidFill>
                  <a:schemeClr val="accent2">
                    <a:lumMod val="7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62" name="Group 61">
            <a:extLst>
              <a:ext uri="{FF2B5EF4-FFF2-40B4-BE49-F238E27FC236}">
                <a16:creationId xmlns:a16="http://schemas.microsoft.com/office/drawing/2014/main" id="{00000000-0008-0000-0300-00003E000000}"/>
              </a:ext>
            </a:extLst>
          </xdr:cNvPr>
          <xdr:cNvGrpSpPr/>
        </xdr:nvGrpSpPr>
        <xdr:grpSpPr>
          <a:xfrm>
            <a:off x="8073537" y="1897873"/>
            <a:ext cx="4907280" cy="1803353"/>
            <a:chOff x="8073171" y="1321501"/>
            <a:chExt cx="4877501" cy="1832677"/>
          </a:xfrm>
        </xdr:grpSpPr>
        <xdr:sp macro="" textlink="">
          <xdr:nvSpPr>
            <xdr:cNvPr id="25" name="Rounded Rectangle 24">
              <a:extLst>
                <a:ext uri="{FF2B5EF4-FFF2-40B4-BE49-F238E27FC236}">
                  <a16:creationId xmlns:a16="http://schemas.microsoft.com/office/drawing/2014/main" id="{00000000-0008-0000-0300-000019000000}"/>
                </a:ext>
              </a:extLst>
            </xdr:cNvPr>
            <xdr:cNvSpPr/>
          </xdr:nvSpPr>
          <xdr:spPr>
            <a:xfrm>
              <a:off x="8073171" y="1321501"/>
              <a:ext cx="4877501" cy="183267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8174771" y="1376462"/>
            <a:ext cx="4668160" cy="1736364"/>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12050252" y="2635238"/>
            <a:ext cx="791823" cy="205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chemeClr val="tx1">
                    <a:lumMod val="50000"/>
                    <a:lumOff val="50000"/>
                  </a:schemeClr>
                </a:solidFill>
                <a:latin typeface="American Typewriter" panose="02090604020004020304" pitchFamily="18" charset="77"/>
                <a:ea typeface="Baskerville" panose="02020502070401020303" pitchFamily="18" charset="0"/>
                <a:cs typeface="Times New Roman" panose="02020603050405020304" pitchFamily="18" charset="0"/>
              </a:rPr>
              <a:t>Balance</a:t>
            </a:r>
            <a:endParaRPr lang="en-US" sz="1200" b="0">
              <a:solidFill>
                <a:schemeClr val="tx1">
                  <a:lumMod val="50000"/>
                  <a:lumOff val="50000"/>
                </a:schemeClr>
              </a:solidFill>
              <a:latin typeface="American Typewriter" panose="02090604020004020304" pitchFamily="18" charset="77"/>
              <a:ea typeface="Baskerville" panose="02020502070401020303" pitchFamily="18" charset="0"/>
              <a:cs typeface="Times New Roman" panose="02020603050405020304" pitchFamily="18" charset="0"/>
            </a:endParaRPr>
          </a:p>
          <a:p>
            <a:endParaRPr lang="en-US" sz="11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xnSp macro="">
        <xdr:nvCxnSpPr>
          <xdr:cNvPr id="33" name="Straight Connector 32">
            <a:extLst>
              <a:ext uri="{FF2B5EF4-FFF2-40B4-BE49-F238E27FC236}">
                <a16:creationId xmlns:a16="http://schemas.microsoft.com/office/drawing/2014/main" id="{00000000-0008-0000-0300-000021000000}"/>
              </a:ext>
            </a:extLst>
          </xdr:cNvPr>
          <xdr:cNvCxnSpPr/>
        </xdr:nvCxnSpPr>
        <xdr:spPr>
          <a:xfrm flipV="1">
            <a:off x="908296" y="3463615"/>
            <a:ext cx="2395004" cy="2032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Pivottable!M5">
        <xdr:nvSpPr>
          <xdr:cNvPr id="37" name="TextBox 36">
            <a:extLst>
              <a:ext uri="{FF2B5EF4-FFF2-40B4-BE49-F238E27FC236}">
                <a16:creationId xmlns:a16="http://schemas.microsoft.com/office/drawing/2014/main" id="{00000000-0008-0000-0300-000025000000}"/>
              </a:ext>
            </a:extLst>
          </xdr:cNvPr>
          <xdr:cNvSpPr txBox="1"/>
        </xdr:nvSpPr>
        <xdr:spPr>
          <a:xfrm>
            <a:off x="862718" y="2416211"/>
            <a:ext cx="1685551" cy="294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FDED159-3724-AE4E-AC03-1A6DD2CD683B}" type="TxLink">
              <a:rPr lang="en-US" sz="1200" b="0"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algn="l"/>
              <a:t>Retaining Customer</a:t>
            </a:fld>
            <a:endParaRPr lang="en-US" sz="1100" b="0">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L5">
        <xdr:nvSpPr>
          <xdr:cNvPr id="38" name="TextBox 37">
            <a:extLst>
              <a:ext uri="{FF2B5EF4-FFF2-40B4-BE49-F238E27FC236}">
                <a16:creationId xmlns:a16="http://schemas.microsoft.com/office/drawing/2014/main" id="{00000000-0008-0000-0300-000026000000}"/>
              </a:ext>
            </a:extLst>
          </xdr:cNvPr>
          <xdr:cNvSpPr txBox="1"/>
        </xdr:nvSpPr>
        <xdr:spPr>
          <a:xfrm>
            <a:off x="860898" y="2898139"/>
            <a:ext cx="1547642" cy="314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8F08E5A-8E6D-A644-A94C-7278AB35CA04}" type="TxLink">
              <a:rPr lang="en-US" sz="1200" b="0"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algn="l"/>
              <a:t>New Customer</a:t>
            </a:fld>
            <a:endParaRPr lang="en-US" sz="1100" b="0">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39" name="Rounded Rectangle 38">
            <a:extLst>
              <a:ext uri="{FF2B5EF4-FFF2-40B4-BE49-F238E27FC236}">
                <a16:creationId xmlns:a16="http://schemas.microsoft.com/office/drawing/2014/main" id="{00000000-0008-0000-0300-000027000000}"/>
              </a:ext>
            </a:extLst>
          </xdr:cNvPr>
          <xdr:cNvSpPr/>
        </xdr:nvSpPr>
        <xdr:spPr>
          <a:xfrm>
            <a:off x="2528894" y="2357119"/>
            <a:ext cx="857165" cy="311574"/>
          </a:xfrm>
          <a:prstGeom prst="roundRect">
            <a:avLst>
              <a:gd name="adj" fmla="val 4839"/>
            </a:avLst>
          </a:prstGeom>
          <a:solidFill>
            <a:schemeClr val="bg1">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ounded Rectangle 39">
            <a:extLst>
              <a:ext uri="{FF2B5EF4-FFF2-40B4-BE49-F238E27FC236}">
                <a16:creationId xmlns:a16="http://schemas.microsoft.com/office/drawing/2014/main" id="{00000000-0008-0000-0300-000028000000}"/>
              </a:ext>
            </a:extLst>
          </xdr:cNvPr>
          <xdr:cNvSpPr/>
        </xdr:nvSpPr>
        <xdr:spPr>
          <a:xfrm>
            <a:off x="2544134" y="2832099"/>
            <a:ext cx="859705" cy="318347"/>
          </a:xfrm>
          <a:prstGeom prst="roundRect">
            <a:avLst>
              <a:gd name="adj" fmla="val 4839"/>
            </a:avLst>
          </a:prstGeom>
          <a:solidFill>
            <a:schemeClr val="bg1">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M6">
        <xdr:nvSpPr>
          <xdr:cNvPr id="41" name="TextBox 40">
            <a:extLst>
              <a:ext uri="{FF2B5EF4-FFF2-40B4-BE49-F238E27FC236}">
                <a16:creationId xmlns:a16="http://schemas.microsoft.com/office/drawing/2014/main" id="{00000000-0008-0000-0300-000029000000}"/>
              </a:ext>
            </a:extLst>
          </xdr:cNvPr>
          <xdr:cNvSpPr txBox="1"/>
        </xdr:nvSpPr>
        <xdr:spPr>
          <a:xfrm>
            <a:off x="2783806" y="2393350"/>
            <a:ext cx="780561" cy="29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4BE7AB8-8588-BC49-9482-62511B2F27D0}" type="TxLink">
              <a:rPr lang="en-US" sz="1400" b="1" i="0" u="none" strike="noStrike">
                <a:solidFill>
                  <a:srgbClr val="000000"/>
                </a:solidFill>
                <a:latin typeface="Arial"/>
                <a:ea typeface="Baskerville" panose="02020502070401020303" pitchFamily="18" charset="0"/>
                <a:cs typeface="Arial"/>
              </a:rPr>
              <a:pPr algn="l"/>
              <a:t>50</a:t>
            </a:fld>
            <a:endParaRPr lang="en-US" sz="12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L6">
        <xdr:nvSpPr>
          <xdr:cNvPr id="42" name="TextBox 41">
            <a:extLst>
              <a:ext uri="{FF2B5EF4-FFF2-40B4-BE49-F238E27FC236}">
                <a16:creationId xmlns:a16="http://schemas.microsoft.com/office/drawing/2014/main" id="{00000000-0008-0000-0300-00002A000000}"/>
              </a:ext>
            </a:extLst>
          </xdr:cNvPr>
          <xdr:cNvSpPr txBox="1"/>
        </xdr:nvSpPr>
        <xdr:spPr>
          <a:xfrm>
            <a:off x="2783806" y="2863250"/>
            <a:ext cx="767861" cy="282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AE5B71C-601C-4149-B19E-6F92CB677473}" type="TxLink">
              <a:rPr lang="en-US" sz="1400" b="1" i="0" u="none" strike="noStrike">
                <a:solidFill>
                  <a:srgbClr val="000000"/>
                </a:solidFill>
                <a:latin typeface="Arial"/>
                <a:ea typeface="Baskerville" panose="02020502070401020303" pitchFamily="18" charset="0"/>
                <a:cs typeface="Arial"/>
              </a:rPr>
              <a:pPr algn="l"/>
              <a:t>11</a:t>
            </a:fld>
            <a:endParaRPr lang="en-US" sz="12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nvGrpSpPr>
          <xdr:cNvPr id="58" name="Group 57">
            <a:extLst>
              <a:ext uri="{FF2B5EF4-FFF2-40B4-BE49-F238E27FC236}">
                <a16:creationId xmlns:a16="http://schemas.microsoft.com/office/drawing/2014/main" id="{00000000-0008-0000-0300-00003A000000}"/>
              </a:ext>
            </a:extLst>
          </xdr:cNvPr>
          <xdr:cNvGrpSpPr/>
        </xdr:nvGrpSpPr>
        <xdr:grpSpPr>
          <a:xfrm>
            <a:off x="13266774" y="1900339"/>
            <a:ext cx="3308743" cy="2007340"/>
            <a:chOff x="13300854" y="1288039"/>
            <a:chExt cx="3305499" cy="2273817"/>
          </a:xfrm>
        </xdr:grpSpPr>
        <xdr:sp macro="" textlink="">
          <xdr:nvSpPr>
            <xdr:cNvPr id="43" name="Rounded Rectangle 42">
              <a:extLst>
                <a:ext uri="{FF2B5EF4-FFF2-40B4-BE49-F238E27FC236}">
                  <a16:creationId xmlns:a16="http://schemas.microsoft.com/office/drawing/2014/main" id="{00000000-0008-0000-0300-00002B000000}"/>
                </a:ext>
              </a:extLst>
            </xdr:cNvPr>
            <xdr:cNvSpPr/>
          </xdr:nvSpPr>
          <xdr:spPr>
            <a:xfrm>
              <a:off x="13300854" y="1288039"/>
              <a:ext cx="3258927" cy="227381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3502310" y="1489112"/>
              <a:ext cx="2180289" cy="3867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Truck</a:t>
              </a:r>
              <a:r>
                <a:rPr lang="en-US" sz="1600" b="0" baseline="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 Expenses</a:t>
              </a:r>
              <a:endParaRPr lang="en-US" sz="18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endParaRPr>
            </a:p>
            <a:p>
              <a:endParaRPr lang="en-US" sz="16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grpSp>
          <xdr:nvGrpSpPr>
            <xdr:cNvPr id="57" name="Group 56">
              <a:extLst>
                <a:ext uri="{FF2B5EF4-FFF2-40B4-BE49-F238E27FC236}">
                  <a16:creationId xmlns:a16="http://schemas.microsoft.com/office/drawing/2014/main" id="{00000000-0008-0000-0300-000039000000}"/>
                </a:ext>
              </a:extLst>
            </xdr:cNvPr>
            <xdr:cNvGrpSpPr/>
          </xdr:nvGrpSpPr>
          <xdr:grpSpPr>
            <a:xfrm>
              <a:off x="13504820" y="2054604"/>
              <a:ext cx="3101533" cy="1413180"/>
              <a:chOff x="13489610" y="2008976"/>
              <a:chExt cx="3101533" cy="1413180"/>
            </a:xfrm>
          </xdr:grpSpPr>
          <xdr:sp macro="" textlink="Pivottable!Q5">
            <xdr:nvSpPr>
              <xdr:cNvPr id="45" name="TextBox 44">
                <a:extLst>
                  <a:ext uri="{FF2B5EF4-FFF2-40B4-BE49-F238E27FC236}">
                    <a16:creationId xmlns:a16="http://schemas.microsoft.com/office/drawing/2014/main" id="{00000000-0008-0000-0300-00002D000000}"/>
                  </a:ext>
                </a:extLst>
              </xdr:cNvPr>
              <xdr:cNvSpPr txBox="1"/>
            </xdr:nvSpPr>
            <xdr:spPr>
              <a:xfrm>
                <a:off x="13502310" y="2034376"/>
                <a:ext cx="1033867"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64F3FDA-1CD8-5946-A48E-4AE2CD23EE2B}" type="TxLink">
                  <a:rPr lang="en-US" sz="1200" b="0" i="0" u="none" strike="noStrike">
                    <a:solidFill>
                      <a:schemeClr val="tx1">
                        <a:lumMod val="50000"/>
                        <a:lumOff val="50000"/>
                      </a:schemeClr>
                    </a:solidFill>
                    <a:latin typeface="Arial"/>
                    <a:ea typeface="Baskerville" panose="02020502070401020303" pitchFamily="18" charset="0"/>
                    <a:cs typeface="Arial"/>
                  </a:rPr>
                  <a:pPr algn="l"/>
                  <a:t>Insurance</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Q6">
            <xdr:nvSpPr>
              <xdr:cNvPr id="46" name="TextBox 45">
                <a:extLst>
                  <a:ext uri="{FF2B5EF4-FFF2-40B4-BE49-F238E27FC236}">
                    <a16:creationId xmlns:a16="http://schemas.microsoft.com/office/drawing/2014/main" id="{00000000-0008-0000-0300-00002E000000}"/>
                  </a:ext>
                </a:extLst>
              </xdr:cNvPr>
              <xdr:cNvSpPr txBox="1"/>
            </xdr:nvSpPr>
            <xdr:spPr>
              <a:xfrm>
                <a:off x="15553855" y="2008976"/>
                <a:ext cx="1037288"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30438C3-B685-A044-BDA8-89F199A0A5C3}"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$8,052</a:t>
                </a:fld>
                <a:endParaRPr lang="en-US" sz="14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R5">
            <xdr:nvSpPr>
              <xdr:cNvPr id="47" name="TextBox 46">
                <a:extLst>
                  <a:ext uri="{FF2B5EF4-FFF2-40B4-BE49-F238E27FC236}">
                    <a16:creationId xmlns:a16="http://schemas.microsoft.com/office/drawing/2014/main" id="{00000000-0008-0000-0300-00002F000000}"/>
                  </a:ext>
                </a:extLst>
              </xdr:cNvPr>
              <xdr:cNvSpPr txBox="1"/>
            </xdr:nvSpPr>
            <xdr:spPr>
              <a:xfrm>
                <a:off x="13502310" y="2393448"/>
                <a:ext cx="1033867"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863C559-5AB6-D844-9511-F918FFC79AF5}" type="TxLink">
                  <a:rPr lang="en-US" sz="1200" b="0" i="0" u="none" strike="noStrike">
                    <a:solidFill>
                      <a:schemeClr val="tx1">
                        <a:lumMod val="50000"/>
                        <a:lumOff val="50000"/>
                      </a:schemeClr>
                    </a:solidFill>
                    <a:latin typeface="Arial"/>
                    <a:ea typeface="Baskerville" panose="02020502070401020303" pitchFamily="18" charset="0"/>
                    <a:cs typeface="Arial"/>
                  </a:rPr>
                  <a:pPr algn="l"/>
                  <a:t>Fuel</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S5">
            <xdr:nvSpPr>
              <xdr:cNvPr id="48" name="TextBox 47">
                <a:extLst>
                  <a:ext uri="{FF2B5EF4-FFF2-40B4-BE49-F238E27FC236}">
                    <a16:creationId xmlns:a16="http://schemas.microsoft.com/office/drawing/2014/main" id="{00000000-0008-0000-0300-000030000000}"/>
                  </a:ext>
                </a:extLst>
              </xdr:cNvPr>
              <xdr:cNvSpPr txBox="1"/>
            </xdr:nvSpPr>
            <xdr:spPr>
              <a:xfrm>
                <a:off x="13489610" y="2752521"/>
                <a:ext cx="1634189"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AC0E6CE-FA80-B841-8CB6-479332EBA5BD}" type="TxLink">
                  <a:rPr lang="en-US" sz="1200" b="0" i="0" u="none" strike="noStrike">
                    <a:solidFill>
                      <a:schemeClr val="tx1">
                        <a:lumMod val="50000"/>
                        <a:lumOff val="50000"/>
                      </a:schemeClr>
                    </a:solidFill>
                    <a:latin typeface="Arial"/>
                    <a:ea typeface="Baskerville" panose="02020502070401020303" pitchFamily="18" charset="0"/>
                    <a:cs typeface="Arial"/>
                  </a:rPr>
                  <a:pPr algn="l"/>
                  <a:t>Diesel Exhaust Fluid</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T5">
            <xdr:nvSpPr>
              <xdr:cNvPr id="49" name="TextBox 48">
                <a:extLst>
                  <a:ext uri="{FF2B5EF4-FFF2-40B4-BE49-F238E27FC236}">
                    <a16:creationId xmlns:a16="http://schemas.microsoft.com/office/drawing/2014/main" id="{00000000-0008-0000-0300-000031000000}"/>
                  </a:ext>
                </a:extLst>
              </xdr:cNvPr>
              <xdr:cNvSpPr txBox="1"/>
            </xdr:nvSpPr>
            <xdr:spPr>
              <a:xfrm>
                <a:off x="13489610" y="3111594"/>
                <a:ext cx="1608789"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C4EBD26-619A-8548-8504-81737EE4E0E6}" type="TxLink">
                  <a:rPr lang="en-US" sz="1200" b="0" i="0" u="none" strike="noStrike">
                    <a:solidFill>
                      <a:schemeClr val="tx1">
                        <a:lumMod val="50000"/>
                        <a:lumOff val="50000"/>
                      </a:schemeClr>
                    </a:solidFill>
                    <a:latin typeface="Arial"/>
                    <a:ea typeface="Baskerville" panose="02020502070401020303" pitchFamily="18" charset="0"/>
                    <a:cs typeface="Arial"/>
                  </a:rPr>
                  <a:pPr algn="l"/>
                  <a:t>Advance</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R6">
            <xdr:nvSpPr>
              <xdr:cNvPr id="50" name="TextBox 49">
                <a:extLst>
                  <a:ext uri="{FF2B5EF4-FFF2-40B4-BE49-F238E27FC236}">
                    <a16:creationId xmlns:a16="http://schemas.microsoft.com/office/drawing/2014/main" id="{00000000-0008-0000-0300-000032000000}"/>
                  </a:ext>
                </a:extLst>
              </xdr:cNvPr>
              <xdr:cNvSpPr txBox="1"/>
            </xdr:nvSpPr>
            <xdr:spPr>
              <a:xfrm>
                <a:off x="15541155" y="2368048"/>
                <a:ext cx="1037288"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8DFB25D-5B1A-A74F-87B4-97891FC0AB24}"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$23,720</a:t>
                </a:fld>
                <a:endParaRPr lang="en-US" sz="16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S6">
            <xdr:nvSpPr>
              <xdr:cNvPr id="51" name="TextBox 50">
                <a:extLst>
                  <a:ext uri="{FF2B5EF4-FFF2-40B4-BE49-F238E27FC236}">
                    <a16:creationId xmlns:a16="http://schemas.microsoft.com/office/drawing/2014/main" id="{00000000-0008-0000-0300-000033000000}"/>
                  </a:ext>
                </a:extLst>
              </xdr:cNvPr>
              <xdr:cNvSpPr txBox="1"/>
            </xdr:nvSpPr>
            <xdr:spPr>
              <a:xfrm>
                <a:off x="15541155" y="2727121"/>
                <a:ext cx="1037288" cy="31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25D27E6-54B3-334D-8492-27CEEA3840EE}"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$3,164</a:t>
                </a:fld>
                <a:endParaRPr lang="en-US" sz="18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T6">
            <xdr:nvSpPr>
              <xdr:cNvPr id="52" name="TextBox 51">
                <a:extLst>
                  <a:ext uri="{FF2B5EF4-FFF2-40B4-BE49-F238E27FC236}">
                    <a16:creationId xmlns:a16="http://schemas.microsoft.com/office/drawing/2014/main" id="{00000000-0008-0000-0300-000034000000}"/>
                  </a:ext>
                </a:extLst>
              </xdr:cNvPr>
              <xdr:cNvSpPr txBox="1"/>
            </xdr:nvSpPr>
            <xdr:spPr>
              <a:xfrm>
                <a:off x="15528455" y="3086194"/>
                <a:ext cx="919566" cy="310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E971A3B-432D-C645-B4B7-5F4656290850}"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$15,250</a:t>
                </a:fld>
                <a:endParaRPr lang="en-US" sz="20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xnSp macro="">
            <xdr:nvCxnSpPr>
              <xdr:cNvPr id="53" name="Straight Connector 52">
                <a:extLst>
                  <a:ext uri="{FF2B5EF4-FFF2-40B4-BE49-F238E27FC236}">
                    <a16:creationId xmlns:a16="http://schemas.microsoft.com/office/drawing/2014/main" id="{00000000-0008-0000-0300-000035000000}"/>
                  </a:ext>
                </a:extLst>
              </xdr:cNvPr>
              <xdr:cNvCxnSpPr/>
            </xdr:nvCxnSpPr>
            <xdr:spPr>
              <a:xfrm flipV="1">
                <a:off x="13547234" y="2324617"/>
                <a:ext cx="2844907"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300-000036000000}"/>
                  </a:ext>
                </a:extLst>
              </xdr:cNvPr>
              <xdr:cNvCxnSpPr/>
            </xdr:nvCxnSpPr>
            <xdr:spPr>
              <a:xfrm flipV="1">
                <a:off x="13534534" y="2704857"/>
                <a:ext cx="2844907"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300-000037000000}"/>
                  </a:ext>
                </a:extLst>
              </xdr:cNvPr>
              <xdr:cNvCxnSpPr/>
            </xdr:nvCxnSpPr>
            <xdr:spPr>
              <a:xfrm flipV="1">
                <a:off x="13547234" y="3072396"/>
                <a:ext cx="2844907"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8" name="Rounded Rectangle 7">
            <a:extLst>
              <a:ext uri="{FF2B5EF4-FFF2-40B4-BE49-F238E27FC236}">
                <a16:creationId xmlns:a16="http://schemas.microsoft.com/office/drawing/2014/main" id="{00000000-0008-0000-0300-000008000000}"/>
              </a:ext>
            </a:extLst>
          </xdr:cNvPr>
          <xdr:cNvSpPr/>
        </xdr:nvSpPr>
        <xdr:spPr>
          <a:xfrm>
            <a:off x="13289023" y="4175580"/>
            <a:ext cx="3261655" cy="2001630"/>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13490555" y="4352365"/>
            <a:ext cx="2182112" cy="339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Freight</a:t>
            </a:r>
            <a:r>
              <a:rPr lang="en-US" sz="1600" b="0" baseline="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 Expenses</a:t>
            </a:r>
            <a:endParaRPr lang="en-US" sz="18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endParaRPr>
          </a:p>
          <a:p>
            <a:endParaRPr lang="en-US" sz="16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grpSp>
        <xdr:nvGrpSpPr>
          <xdr:cNvPr id="34" name="Group 33">
            <a:extLst>
              <a:ext uri="{FF2B5EF4-FFF2-40B4-BE49-F238E27FC236}">
                <a16:creationId xmlns:a16="http://schemas.microsoft.com/office/drawing/2014/main" id="{00000000-0008-0000-0300-000022000000}"/>
              </a:ext>
            </a:extLst>
          </xdr:cNvPr>
          <xdr:cNvGrpSpPr/>
        </xdr:nvGrpSpPr>
        <xdr:grpSpPr>
          <a:xfrm>
            <a:off x="13493066" y="4848059"/>
            <a:ext cx="3104701" cy="1250683"/>
            <a:chOff x="13489610" y="2008976"/>
            <a:chExt cx="3101533" cy="1413180"/>
          </a:xfrm>
        </xdr:grpSpPr>
        <xdr:sp macro="" textlink="Pivottable!W5">
          <xdr:nvSpPr>
            <xdr:cNvPr id="35" name="TextBox 34">
              <a:extLst>
                <a:ext uri="{FF2B5EF4-FFF2-40B4-BE49-F238E27FC236}">
                  <a16:creationId xmlns:a16="http://schemas.microsoft.com/office/drawing/2014/main" id="{00000000-0008-0000-0300-000023000000}"/>
                </a:ext>
              </a:extLst>
            </xdr:cNvPr>
            <xdr:cNvSpPr txBox="1"/>
          </xdr:nvSpPr>
          <xdr:spPr>
            <a:xfrm>
              <a:off x="13502310" y="2034376"/>
              <a:ext cx="1033867"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B3B6829-16CB-4E4F-AA92-3C39486F44A2}" type="TxLink">
                <a:rPr lang="en-US" sz="1200" b="0" i="0" u="none" strike="noStrike">
                  <a:solidFill>
                    <a:srgbClr val="808080"/>
                  </a:solidFill>
                  <a:latin typeface="Arial"/>
                  <a:ea typeface="Baskerville" panose="02020502070401020303" pitchFamily="18" charset="0"/>
                  <a:cs typeface="Arial"/>
                </a:rPr>
                <a:pPr algn="l"/>
                <a:t>Warehouse</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W6">
          <xdr:nvSpPr>
            <xdr:cNvPr id="36" name="TextBox 35">
              <a:extLst>
                <a:ext uri="{FF2B5EF4-FFF2-40B4-BE49-F238E27FC236}">
                  <a16:creationId xmlns:a16="http://schemas.microsoft.com/office/drawing/2014/main" id="{00000000-0008-0000-0300-000024000000}"/>
                </a:ext>
              </a:extLst>
            </xdr:cNvPr>
            <xdr:cNvSpPr txBox="1"/>
          </xdr:nvSpPr>
          <xdr:spPr>
            <a:xfrm>
              <a:off x="15553855" y="2008976"/>
              <a:ext cx="1037288"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4557724-A50A-934A-B0DF-2711B9332710}" type="TxLink">
                <a:rPr lang="en-US" sz="1400" b="1" i="0" u="none" strike="noStrike">
                  <a:solidFill>
                    <a:srgbClr val="000000"/>
                  </a:solidFill>
                  <a:latin typeface="Baskerville"/>
                  <a:ea typeface="Baskerville"/>
                  <a:cs typeface="Times New Roman" panose="02020603050405020304" pitchFamily="18" charset="0"/>
                </a:rPr>
                <a:pPr algn="l"/>
                <a:t>$7,785</a:t>
              </a:fld>
              <a:endParaRPr lang="en-US" sz="16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X5">
          <xdr:nvSpPr>
            <xdr:cNvPr id="56" name="TextBox 55">
              <a:extLst>
                <a:ext uri="{FF2B5EF4-FFF2-40B4-BE49-F238E27FC236}">
                  <a16:creationId xmlns:a16="http://schemas.microsoft.com/office/drawing/2014/main" id="{00000000-0008-0000-0300-000038000000}"/>
                </a:ext>
              </a:extLst>
            </xdr:cNvPr>
            <xdr:cNvSpPr txBox="1"/>
          </xdr:nvSpPr>
          <xdr:spPr>
            <a:xfrm>
              <a:off x="13502310" y="2393448"/>
              <a:ext cx="1033867"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266604E-107F-FD43-9F89-A46DA59B5D49}" type="TxLink">
                <a:rPr lang="en-US" sz="1200" b="0" i="0" u="none" strike="noStrike">
                  <a:solidFill>
                    <a:srgbClr val="808080"/>
                  </a:solidFill>
                  <a:latin typeface="Arial"/>
                  <a:ea typeface="Baskerville" panose="02020502070401020303" pitchFamily="18" charset="0"/>
                  <a:cs typeface="Arial"/>
                </a:rPr>
                <a:pPr algn="l"/>
                <a:t>Repairs &amp; Cost</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Y5">
          <xdr:nvSpPr>
            <xdr:cNvPr id="61" name="TextBox 60">
              <a:extLst>
                <a:ext uri="{FF2B5EF4-FFF2-40B4-BE49-F238E27FC236}">
                  <a16:creationId xmlns:a16="http://schemas.microsoft.com/office/drawing/2014/main" id="{00000000-0008-0000-0300-00003D000000}"/>
                </a:ext>
              </a:extLst>
            </xdr:cNvPr>
            <xdr:cNvSpPr txBox="1"/>
          </xdr:nvSpPr>
          <xdr:spPr>
            <a:xfrm>
              <a:off x="13489610" y="2752521"/>
              <a:ext cx="1634189"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77E0015-544F-E34A-9C22-61E6EB818FED}" type="TxLink">
                <a:rPr lang="en-US" sz="1200" b="0" i="0" u="none" strike="noStrike">
                  <a:solidFill>
                    <a:srgbClr val="808080"/>
                  </a:solidFill>
                  <a:latin typeface="Arial"/>
                  <a:ea typeface="Baskerville" panose="02020502070401020303" pitchFamily="18" charset="0"/>
                  <a:cs typeface="Arial"/>
                </a:rPr>
                <a:pPr algn="l"/>
                <a:t>Tolls</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Z5">
          <xdr:nvSpPr>
            <xdr:cNvPr id="63" name="TextBox 62">
              <a:extLst>
                <a:ext uri="{FF2B5EF4-FFF2-40B4-BE49-F238E27FC236}">
                  <a16:creationId xmlns:a16="http://schemas.microsoft.com/office/drawing/2014/main" id="{00000000-0008-0000-0300-00003F000000}"/>
                </a:ext>
              </a:extLst>
            </xdr:cNvPr>
            <xdr:cNvSpPr txBox="1"/>
          </xdr:nvSpPr>
          <xdr:spPr>
            <a:xfrm>
              <a:off x="13489610" y="3111594"/>
              <a:ext cx="1608789"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CEB53A4-0520-7340-B16D-5FBD5F4651B9}" type="TxLink">
                <a:rPr lang="en-US" sz="1200" b="0" i="0" u="none" strike="noStrike">
                  <a:solidFill>
                    <a:srgbClr val="808080"/>
                  </a:solidFill>
                  <a:latin typeface="Arial"/>
                  <a:ea typeface="Baskerville" panose="02020502070401020303" pitchFamily="18" charset="0"/>
                  <a:cs typeface="Arial"/>
                </a:rPr>
                <a:pPr algn="l"/>
                <a:t>Fundings</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X6">
          <xdr:nvSpPr>
            <xdr:cNvPr id="64" name="TextBox 63">
              <a:extLst>
                <a:ext uri="{FF2B5EF4-FFF2-40B4-BE49-F238E27FC236}">
                  <a16:creationId xmlns:a16="http://schemas.microsoft.com/office/drawing/2014/main" id="{00000000-0008-0000-0300-000040000000}"/>
                </a:ext>
              </a:extLst>
            </xdr:cNvPr>
            <xdr:cNvSpPr txBox="1"/>
          </xdr:nvSpPr>
          <xdr:spPr>
            <a:xfrm>
              <a:off x="15541155" y="2368048"/>
              <a:ext cx="1037288"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4150621-D6C4-344A-A5BA-6B30863150DF}" type="TxLink">
                <a:rPr lang="en-US" sz="1400" b="1" i="0" u="none" strike="noStrike">
                  <a:solidFill>
                    <a:srgbClr val="000000"/>
                  </a:solidFill>
                  <a:latin typeface="Baskerville"/>
                  <a:ea typeface="Baskerville"/>
                  <a:cs typeface="Times New Roman" panose="02020603050405020304" pitchFamily="18" charset="0"/>
                </a:rPr>
                <a:pPr algn="l"/>
                <a:t>$2,215</a:t>
              </a:fld>
              <a:endParaRPr lang="en-US" sz="18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Y6">
          <xdr:nvSpPr>
            <xdr:cNvPr id="65" name="TextBox 64">
              <a:extLst>
                <a:ext uri="{FF2B5EF4-FFF2-40B4-BE49-F238E27FC236}">
                  <a16:creationId xmlns:a16="http://schemas.microsoft.com/office/drawing/2014/main" id="{00000000-0008-0000-0300-000041000000}"/>
                </a:ext>
              </a:extLst>
            </xdr:cNvPr>
            <xdr:cNvSpPr txBox="1"/>
          </xdr:nvSpPr>
          <xdr:spPr>
            <a:xfrm>
              <a:off x="15541155" y="2727121"/>
              <a:ext cx="1037288" cy="31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D37C90F-6088-9E4D-A404-1783A2C8488F}" type="TxLink">
                <a:rPr lang="en-US" sz="1400" b="1" i="0" u="none" strike="noStrike">
                  <a:solidFill>
                    <a:srgbClr val="000000"/>
                  </a:solidFill>
                  <a:latin typeface="Baskerville"/>
                  <a:ea typeface="Baskerville"/>
                  <a:cs typeface="Times New Roman" panose="02020603050405020304" pitchFamily="18" charset="0"/>
                </a:rPr>
                <a:pPr algn="l"/>
                <a:t>$7,372</a:t>
              </a:fld>
              <a:endParaRPr lang="en-US" sz="20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Z6">
          <xdr:nvSpPr>
            <xdr:cNvPr id="66" name="TextBox 65">
              <a:extLst>
                <a:ext uri="{FF2B5EF4-FFF2-40B4-BE49-F238E27FC236}">
                  <a16:creationId xmlns:a16="http://schemas.microsoft.com/office/drawing/2014/main" id="{00000000-0008-0000-0300-000042000000}"/>
                </a:ext>
              </a:extLst>
            </xdr:cNvPr>
            <xdr:cNvSpPr txBox="1"/>
          </xdr:nvSpPr>
          <xdr:spPr>
            <a:xfrm>
              <a:off x="15528455" y="3086194"/>
              <a:ext cx="919566" cy="310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C648D99-1B98-4343-A410-75766B986A8E}" type="TxLink">
                <a:rPr lang="en-US" sz="1400" b="1" i="0" u="none" strike="noStrike">
                  <a:solidFill>
                    <a:srgbClr val="000000"/>
                  </a:solidFill>
                  <a:latin typeface="Baskerville"/>
                  <a:ea typeface="Baskerville"/>
                  <a:cs typeface="Times New Roman" panose="02020603050405020304" pitchFamily="18" charset="0"/>
                </a:rPr>
                <a:pPr algn="l"/>
                <a:t>$1,196</a:t>
              </a:fld>
              <a:endParaRPr lang="en-US" sz="24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xnSp macro="">
          <xdr:nvCxnSpPr>
            <xdr:cNvPr id="67" name="Straight Connector 66">
              <a:extLst>
                <a:ext uri="{FF2B5EF4-FFF2-40B4-BE49-F238E27FC236}">
                  <a16:creationId xmlns:a16="http://schemas.microsoft.com/office/drawing/2014/main" id="{00000000-0008-0000-0300-000043000000}"/>
                </a:ext>
              </a:extLst>
            </xdr:cNvPr>
            <xdr:cNvCxnSpPr/>
          </xdr:nvCxnSpPr>
          <xdr:spPr>
            <a:xfrm flipV="1">
              <a:off x="13547234" y="2324617"/>
              <a:ext cx="2844907" cy="0"/>
            </a:xfrm>
            <a:prstGeom prst="line">
              <a:avLst/>
            </a:prstGeom>
            <a:noFill/>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xdr:nvCxnSpPr>
          <xdr:spPr>
            <a:xfrm flipV="1">
              <a:off x="13534534" y="2704857"/>
              <a:ext cx="2844907" cy="0"/>
            </a:xfrm>
            <a:prstGeom prst="line">
              <a:avLst/>
            </a:prstGeom>
            <a:noFill/>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xdr:nvCxnSpPr>
          <xdr:spPr>
            <a:xfrm flipV="1">
              <a:off x="13547234" y="3072396"/>
              <a:ext cx="2844907" cy="0"/>
            </a:xfrm>
            <a:prstGeom prst="line">
              <a:avLst/>
            </a:prstGeom>
            <a:noFill/>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74" name="Group 73">
            <a:extLst>
              <a:ext uri="{FF2B5EF4-FFF2-40B4-BE49-F238E27FC236}">
                <a16:creationId xmlns:a16="http://schemas.microsoft.com/office/drawing/2014/main" id="{00000000-0008-0000-0300-00004A000000}"/>
              </a:ext>
            </a:extLst>
          </xdr:cNvPr>
          <xdr:cNvGrpSpPr/>
        </xdr:nvGrpSpPr>
        <xdr:grpSpPr>
          <a:xfrm>
            <a:off x="790754" y="1145033"/>
            <a:ext cx="460235" cy="447630"/>
            <a:chOff x="790754" y="1174256"/>
            <a:chExt cx="454515" cy="457371"/>
          </a:xfrm>
        </xdr:grpSpPr>
        <xdr:sp macro="" textlink="">
          <xdr:nvSpPr>
            <xdr:cNvPr id="18" name="Rounded Rectangle 17">
              <a:extLst>
                <a:ext uri="{FF2B5EF4-FFF2-40B4-BE49-F238E27FC236}">
                  <a16:creationId xmlns:a16="http://schemas.microsoft.com/office/drawing/2014/main" id="{00000000-0008-0000-0300-000012000000}"/>
                </a:ext>
              </a:extLst>
            </xdr:cNvPr>
            <xdr:cNvSpPr/>
          </xdr:nvSpPr>
          <xdr:spPr>
            <a:xfrm>
              <a:off x="790754" y="1174256"/>
              <a:ext cx="454515" cy="457371"/>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2" name="Graphic 71" descr="Dollar with solid fill">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21046" y="1206121"/>
              <a:ext cx="397984" cy="395184"/>
            </a:xfrm>
            <a:prstGeom prst="rect">
              <a:avLst/>
            </a:prstGeom>
          </xdr:spPr>
        </xdr:pic>
      </xdr:grpSp>
      <xdr:grpSp>
        <xdr:nvGrpSpPr>
          <xdr:cNvPr id="77" name="Group 76">
            <a:hlinkClick xmlns:r="http://schemas.openxmlformats.org/officeDocument/2006/relationships" r:id="rId4" tooltip="Data Source"/>
            <a:extLst>
              <a:ext uri="{FF2B5EF4-FFF2-40B4-BE49-F238E27FC236}">
                <a16:creationId xmlns:a16="http://schemas.microsoft.com/office/drawing/2014/main" id="{00000000-0008-0000-0300-00004D000000}"/>
              </a:ext>
            </a:extLst>
          </xdr:cNvPr>
          <xdr:cNvGrpSpPr/>
        </xdr:nvGrpSpPr>
        <xdr:grpSpPr>
          <a:xfrm>
            <a:off x="16053939" y="1198586"/>
            <a:ext cx="365760" cy="357293"/>
            <a:chOff x="16056176" y="1231175"/>
            <a:chExt cx="365760" cy="368156"/>
          </a:xfrm>
        </xdr:grpSpPr>
        <xdr:sp macro="" textlink="">
          <xdr:nvSpPr>
            <xdr:cNvPr id="70" name="Rounded Rectangle 69">
              <a:extLst>
                <a:ext uri="{FF2B5EF4-FFF2-40B4-BE49-F238E27FC236}">
                  <a16:creationId xmlns:a16="http://schemas.microsoft.com/office/drawing/2014/main" id="{00000000-0008-0000-0300-000046000000}"/>
                </a:ext>
              </a:extLst>
            </xdr:cNvPr>
            <xdr:cNvSpPr/>
          </xdr:nvSpPr>
          <xdr:spPr>
            <a:xfrm>
              <a:off x="16056176" y="1231175"/>
              <a:ext cx="365760" cy="368156"/>
            </a:xfrm>
            <a:prstGeom prst="roundRect">
              <a:avLst/>
            </a:prstGeom>
            <a:solidFill>
              <a:srgbClr val="E3E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6" name="Graphic 75" descr="Single gear with solid fill">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6101896" y="1275798"/>
              <a:ext cx="274320" cy="278911"/>
            </a:xfrm>
            <a:prstGeom prst="rect">
              <a:avLst/>
            </a:prstGeom>
          </xdr:spPr>
        </xdr:pic>
      </xdr:grpSp>
      <xdr:grpSp>
        <xdr:nvGrpSpPr>
          <xdr:cNvPr id="96" name="Group 95">
            <a:extLst>
              <a:ext uri="{FF2B5EF4-FFF2-40B4-BE49-F238E27FC236}">
                <a16:creationId xmlns:a16="http://schemas.microsoft.com/office/drawing/2014/main" id="{00000000-0008-0000-0300-000060000000}"/>
              </a:ext>
            </a:extLst>
          </xdr:cNvPr>
          <xdr:cNvGrpSpPr/>
        </xdr:nvGrpSpPr>
        <xdr:grpSpPr>
          <a:xfrm>
            <a:off x="6053102" y="1049128"/>
            <a:ext cx="7744853" cy="504914"/>
            <a:chOff x="6023469" y="1070295"/>
            <a:chExt cx="7706753" cy="517614"/>
          </a:xfrm>
        </xdr:grpSpPr>
        <xdr:sp macro="" textlink="">
          <xdr:nvSpPr>
            <xdr:cNvPr id="78" name="Rounded Rectangle 77">
              <a:extLst>
                <a:ext uri="{FF2B5EF4-FFF2-40B4-BE49-F238E27FC236}">
                  <a16:creationId xmlns:a16="http://schemas.microsoft.com/office/drawing/2014/main" id="{00000000-0008-0000-0300-00004E000000}"/>
                </a:ext>
              </a:extLst>
            </xdr:cNvPr>
            <xdr:cNvSpPr/>
          </xdr:nvSpPr>
          <xdr:spPr>
            <a:xfrm>
              <a:off x="6023469" y="1070295"/>
              <a:ext cx="7706753" cy="517614"/>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79" name="Month">
                  <a:extLst>
                    <a:ext uri="{FF2B5EF4-FFF2-40B4-BE49-F238E27FC236}">
                      <a16:creationId xmlns:a16="http://schemas.microsoft.com/office/drawing/2014/main" id="{00000000-0008-0000-0300-00004F000000}"/>
                    </a:ext>
                  </a:extLst>
                </xdr:cNvPr>
                <xdr:cNvGraphicFramePr/>
              </xdr:nvGraphicFramePr>
              <xdr:xfrm>
                <a:off x="6135058" y="1106012"/>
                <a:ext cx="7525349" cy="47997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029776" y="1083969"/>
                  <a:ext cx="7562552" cy="4681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4042833" y="1083733"/>
                <a:ext cx="1532467" cy="372534"/>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200" b="0" i="0" u="none" strike="noStrike" baseline="0">
                    <a:solidFill>
                      <a:srgbClr val="000000"/>
                    </a:solidFill>
                    <a:latin typeface="Baskerville" pitchFamily="1" charset="0"/>
                    <a:ea typeface="Baskerville" pitchFamily="1" charset="0"/>
                  </a:rPr>
                  <a:t>Refresh View</a:t>
                </a:r>
              </a:p>
            </xdr:txBody>
          </xdr:sp>
        </mc:Choice>
        <mc:Fallback/>
      </mc:AlternateContent>
      <xdr:grpSp>
        <xdr:nvGrpSpPr>
          <xdr:cNvPr id="95" name="Group 94">
            <a:extLst>
              <a:ext uri="{FF2B5EF4-FFF2-40B4-BE49-F238E27FC236}">
                <a16:creationId xmlns:a16="http://schemas.microsoft.com/office/drawing/2014/main" id="{00000000-0008-0000-0300-00005F000000}"/>
              </a:ext>
            </a:extLst>
          </xdr:cNvPr>
          <xdr:cNvGrpSpPr/>
        </xdr:nvGrpSpPr>
        <xdr:grpSpPr>
          <a:xfrm>
            <a:off x="6519333" y="1063413"/>
            <a:ext cx="7048500" cy="321734"/>
            <a:chOff x="6489700" y="1084580"/>
            <a:chExt cx="7010400" cy="330200"/>
          </a:xfrm>
        </xdr:grpSpPr>
        <xdr:sp macro="" textlink="Pivottable!AF11">
          <xdr:nvSpPr>
            <xdr:cNvPr id="81" name="TextBox 80">
              <a:extLst>
                <a:ext uri="{FF2B5EF4-FFF2-40B4-BE49-F238E27FC236}">
                  <a16:creationId xmlns:a16="http://schemas.microsoft.com/office/drawing/2014/main" id="{00000000-0008-0000-0300-000051000000}"/>
                </a:ext>
              </a:extLst>
            </xdr:cNvPr>
            <xdr:cNvSpPr txBox="1"/>
          </xdr:nvSpPr>
          <xdr:spPr>
            <a:xfrm>
              <a:off x="648970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CD3DCF-FDC0-AA47-B083-C6D936BFEAB3}"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2">
          <xdr:nvSpPr>
            <xdr:cNvPr id="82" name="TextBox 81">
              <a:extLst>
                <a:ext uri="{FF2B5EF4-FFF2-40B4-BE49-F238E27FC236}">
                  <a16:creationId xmlns:a16="http://schemas.microsoft.com/office/drawing/2014/main" id="{00000000-0008-0000-0300-000052000000}"/>
                </a:ext>
              </a:extLst>
            </xdr:cNvPr>
            <xdr:cNvSpPr txBox="1"/>
          </xdr:nvSpPr>
          <xdr:spPr>
            <a:xfrm>
              <a:off x="710045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6C25CE-7DB8-024D-8A7F-4E823C5450E9}"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3">
          <xdr:nvSpPr>
            <xdr:cNvPr id="84" name="TextBox 83">
              <a:extLst>
                <a:ext uri="{FF2B5EF4-FFF2-40B4-BE49-F238E27FC236}">
                  <a16:creationId xmlns:a16="http://schemas.microsoft.com/office/drawing/2014/main" id="{00000000-0008-0000-0300-000054000000}"/>
                </a:ext>
              </a:extLst>
            </xdr:cNvPr>
            <xdr:cNvSpPr txBox="1"/>
          </xdr:nvSpPr>
          <xdr:spPr>
            <a:xfrm>
              <a:off x="771121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1AE6B4-B631-3147-B0B7-30DF13B6642C}"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4">
          <xdr:nvSpPr>
            <xdr:cNvPr id="85" name="TextBox 84">
              <a:extLst>
                <a:ext uri="{FF2B5EF4-FFF2-40B4-BE49-F238E27FC236}">
                  <a16:creationId xmlns:a16="http://schemas.microsoft.com/office/drawing/2014/main" id="{00000000-0008-0000-0300-000055000000}"/>
                </a:ext>
              </a:extLst>
            </xdr:cNvPr>
            <xdr:cNvSpPr txBox="1"/>
          </xdr:nvSpPr>
          <xdr:spPr>
            <a:xfrm>
              <a:off x="832196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EAA9C2-710F-BE44-90F6-966C1D1A26A8}"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5">
          <xdr:nvSpPr>
            <xdr:cNvPr id="86" name="TextBox 85">
              <a:extLst>
                <a:ext uri="{FF2B5EF4-FFF2-40B4-BE49-F238E27FC236}">
                  <a16:creationId xmlns:a16="http://schemas.microsoft.com/office/drawing/2014/main" id="{00000000-0008-0000-0300-000056000000}"/>
                </a:ext>
              </a:extLst>
            </xdr:cNvPr>
            <xdr:cNvSpPr txBox="1"/>
          </xdr:nvSpPr>
          <xdr:spPr>
            <a:xfrm>
              <a:off x="893272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64A273-73DD-CD4A-96FB-761336DBE436}"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6">
          <xdr:nvSpPr>
            <xdr:cNvPr id="87" name="TextBox 86">
              <a:extLst>
                <a:ext uri="{FF2B5EF4-FFF2-40B4-BE49-F238E27FC236}">
                  <a16:creationId xmlns:a16="http://schemas.microsoft.com/office/drawing/2014/main" id="{00000000-0008-0000-0300-000057000000}"/>
                </a:ext>
              </a:extLst>
            </xdr:cNvPr>
            <xdr:cNvSpPr txBox="1"/>
          </xdr:nvSpPr>
          <xdr:spPr>
            <a:xfrm>
              <a:off x="954347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34A9D2-2831-1543-94B0-2FDB71990BB0}"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7">
          <xdr:nvSpPr>
            <xdr:cNvPr id="88" name="TextBox 87">
              <a:extLst>
                <a:ext uri="{FF2B5EF4-FFF2-40B4-BE49-F238E27FC236}">
                  <a16:creationId xmlns:a16="http://schemas.microsoft.com/office/drawing/2014/main" id="{00000000-0008-0000-0300-000058000000}"/>
                </a:ext>
              </a:extLst>
            </xdr:cNvPr>
            <xdr:cNvSpPr txBox="1"/>
          </xdr:nvSpPr>
          <xdr:spPr>
            <a:xfrm>
              <a:off x="1015423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C0D890-3D4D-9B4E-8A5A-5376EA182FB0}"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8">
          <xdr:nvSpPr>
            <xdr:cNvPr id="89" name="TextBox 88">
              <a:extLst>
                <a:ext uri="{FF2B5EF4-FFF2-40B4-BE49-F238E27FC236}">
                  <a16:creationId xmlns:a16="http://schemas.microsoft.com/office/drawing/2014/main" id="{00000000-0008-0000-0300-000059000000}"/>
                </a:ext>
              </a:extLst>
            </xdr:cNvPr>
            <xdr:cNvSpPr txBox="1"/>
          </xdr:nvSpPr>
          <xdr:spPr>
            <a:xfrm>
              <a:off x="1076498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DFC579-ACF3-2D48-839F-2A51F481B09E}"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9">
          <xdr:nvSpPr>
            <xdr:cNvPr id="90" name="TextBox 89">
              <a:extLst>
                <a:ext uri="{FF2B5EF4-FFF2-40B4-BE49-F238E27FC236}">
                  <a16:creationId xmlns:a16="http://schemas.microsoft.com/office/drawing/2014/main" id="{00000000-0008-0000-0300-00005A000000}"/>
                </a:ext>
              </a:extLst>
            </xdr:cNvPr>
            <xdr:cNvSpPr txBox="1"/>
          </xdr:nvSpPr>
          <xdr:spPr>
            <a:xfrm>
              <a:off x="1137574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6F4170-E415-E541-85D0-0A21BA14063E}"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20">
          <xdr:nvSpPr>
            <xdr:cNvPr id="91" name="TextBox 90">
              <a:extLst>
                <a:ext uri="{FF2B5EF4-FFF2-40B4-BE49-F238E27FC236}">
                  <a16:creationId xmlns:a16="http://schemas.microsoft.com/office/drawing/2014/main" id="{00000000-0008-0000-0300-00005B000000}"/>
                </a:ext>
              </a:extLst>
            </xdr:cNvPr>
            <xdr:cNvSpPr txBox="1"/>
          </xdr:nvSpPr>
          <xdr:spPr>
            <a:xfrm>
              <a:off x="1198649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A9F864-450D-F340-B424-7186A20BE021}"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21">
          <xdr:nvSpPr>
            <xdr:cNvPr id="92" name="TextBox 91">
              <a:extLst>
                <a:ext uri="{FF2B5EF4-FFF2-40B4-BE49-F238E27FC236}">
                  <a16:creationId xmlns:a16="http://schemas.microsoft.com/office/drawing/2014/main" id="{00000000-0008-0000-0300-00005C000000}"/>
                </a:ext>
              </a:extLst>
            </xdr:cNvPr>
            <xdr:cNvSpPr txBox="1"/>
          </xdr:nvSpPr>
          <xdr:spPr>
            <a:xfrm>
              <a:off x="1259725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54F865-9446-8549-8348-A51F164CE5C9}"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22">
          <xdr:nvSpPr>
            <xdr:cNvPr id="93" name="TextBox 92">
              <a:extLst>
                <a:ext uri="{FF2B5EF4-FFF2-40B4-BE49-F238E27FC236}">
                  <a16:creationId xmlns:a16="http://schemas.microsoft.com/office/drawing/2014/main" id="{00000000-0008-0000-0300-00005D000000}"/>
                </a:ext>
              </a:extLst>
            </xdr:cNvPr>
            <xdr:cNvSpPr txBox="1"/>
          </xdr:nvSpPr>
          <xdr:spPr>
            <a:xfrm>
              <a:off x="1320800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16281-B230-B04F-A539-6C4AC669EC24}"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24" name="Group 123">
            <a:extLst>
              <a:ext uri="{FF2B5EF4-FFF2-40B4-BE49-F238E27FC236}">
                <a16:creationId xmlns:a16="http://schemas.microsoft.com/office/drawing/2014/main" id="{00000000-0008-0000-0300-00007C000000}"/>
              </a:ext>
            </a:extLst>
          </xdr:cNvPr>
          <xdr:cNvGrpSpPr/>
        </xdr:nvGrpSpPr>
        <xdr:grpSpPr>
          <a:xfrm>
            <a:off x="3953933" y="4039941"/>
            <a:ext cx="9042400" cy="1599964"/>
            <a:chOff x="3962400" y="4243141"/>
            <a:chExt cx="9042400" cy="1676164"/>
          </a:xfrm>
        </xdr:grpSpPr>
        <xdr:sp macro="" textlink="">
          <xdr:nvSpPr>
            <xdr:cNvPr id="99" name="Rounded Rectangle 98">
              <a:extLst>
                <a:ext uri="{FF2B5EF4-FFF2-40B4-BE49-F238E27FC236}">
                  <a16:creationId xmlns:a16="http://schemas.microsoft.com/office/drawing/2014/main" id="{00000000-0008-0000-0300-000063000000}"/>
                </a:ext>
              </a:extLst>
            </xdr:cNvPr>
            <xdr:cNvSpPr/>
          </xdr:nvSpPr>
          <xdr:spPr>
            <a:xfrm>
              <a:off x="3962400" y="4243141"/>
              <a:ext cx="9042400" cy="1676164"/>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97" name="Chart 96">
              <a:extLst>
                <a:ext uri="{FF2B5EF4-FFF2-40B4-BE49-F238E27FC236}">
                  <a16:creationId xmlns:a16="http://schemas.microsoft.com/office/drawing/2014/main" id="{00000000-0008-0000-0300-000061000000}"/>
                </a:ext>
              </a:extLst>
            </xdr:cNvPr>
            <xdr:cNvGraphicFramePr>
              <a:graphicFrameLocks/>
            </xdr:cNvGraphicFramePr>
          </xdr:nvGraphicFramePr>
          <xdr:xfrm>
            <a:off x="3989607" y="4298402"/>
            <a:ext cx="8984369" cy="1586407"/>
          </xdr:xfrm>
          <a:graphic>
            <a:graphicData uri="http://schemas.openxmlformats.org/drawingml/2006/chart">
              <c:chart xmlns:c="http://schemas.openxmlformats.org/drawingml/2006/chart" xmlns:r="http://schemas.openxmlformats.org/officeDocument/2006/relationships" r:id="rId7"/>
            </a:graphicData>
          </a:graphic>
        </xdr:graphicFrame>
      </xdr:grpSp>
      <xdr:sp macro="" textlink="Pivottable!L5">
        <xdr:nvSpPr>
          <xdr:cNvPr id="102" name="TextBox 101">
            <a:extLst>
              <a:ext uri="{FF2B5EF4-FFF2-40B4-BE49-F238E27FC236}">
                <a16:creationId xmlns:a16="http://schemas.microsoft.com/office/drawing/2014/main" id="{00000000-0008-0000-0300-000066000000}"/>
              </a:ext>
            </a:extLst>
          </xdr:cNvPr>
          <xdr:cNvSpPr txBox="1"/>
        </xdr:nvSpPr>
        <xdr:spPr>
          <a:xfrm>
            <a:off x="1005852" y="3658711"/>
            <a:ext cx="1085562" cy="314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Driver Payroll</a:t>
            </a:r>
          </a:p>
          <a:p>
            <a:pPr algn="l"/>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nvGrpSpPr>
          <xdr:cNvPr id="120" name="Group 119">
            <a:extLst>
              <a:ext uri="{FF2B5EF4-FFF2-40B4-BE49-F238E27FC236}">
                <a16:creationId xmlns:a16="http://schemas.microsoft.com/office/drawing/2014/main" id="{00000000-0008-0000-0300-000078000000}"/>
              </a:ext>
            </a:extLst>
          </xdr:cNvPr>
          <xdr:cNvGrpSpPr/>
        </xdr:nvGrpSpPr>
        <xdr:grpSpPr>
          <a:xfrm>
            <a:off x="977638" y="4064001"/>
            <a:ext cx="2722295" cy="1574800"/>
            <a:chOff x="930151" y="4754311"/>
            <a:chExt cx="2717739" cy="1865492"/>
          </a:xfrm>
        </xdr:grpSpPr>
        <xdr:sp macro="" textlink="Pivottable!AN5">
          <xdr:nvSpPr>
            <xdr:cNvPr id="103" name="TextBox 102">
              <a:extLst>
                <a:ext uri="{FF2B5EF4-FFF2-40B4-BE49-F238E27FC236}">
                  <a16:creationId xmlns:a16="http://schemas.microsoft.com/office/drawing/2014/main" id="{00000000-0008-0000-0300-000067000000}"/>
                </a:ext>
              </a:extLst>
            </xdr:cNvPr>
            <xdr:cNvSpPr txBox="1"/>
          </xdr:nvSpPr>
          <xdr:spPr>
            <a:xfrm>
              <a:off x="961218" y="4947059"/>
              <a:ext cx="844029" cy="329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27D2DD6-B750-9D4A-B8D1-16B770543610}"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 Odometer</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O5">
          <xdr:nvSpPr>
            <xdr:cNvPr id="104" name="TextBox 103">
              <a:extLst>
                <a:ext uri="{FF2B5EF4-FFF2-40B4-BE49-F238E27FC236}">
                  <a16:creationId xmlns:a16="http://schemas.microsoft.com/office/drawing/2014/main" id="{00000000-0008-0000-0300-000068000000}"/>
                </a:ext>
              </a:extLst>
            </xdr:cNvPr>
            <xdr:cNvSpPr txBox="1"/>
          </xdr:nvSpPr>
          <xdr:spPr>
            <a:xfrm>
              <a:off x="1146446" y="5619015"/>
              <a:ext cx="574274" cy="32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C776C4B-9869-D745-845C-58ADC9FAB8DD}"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Miles</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P5">
          <xdr:nvSpPr>
            <xdr:cNvPr id="105" name="TextBox 104">
              <a:extLst>
                <a:ext uri="{FF2B5EF4-FFF2-40B4-BE49-F238E27FC236}">
                  <a16:creationId xmlns:a16="http://schemas.microsoft.com/office/drawing/2014/main" id="{00000000-0008-0000-0300-000069000000}"/>
                </a:ext>
              </a:extLst>
            </xdr:cNvPr>
            <xdr:cNvSpPr txBox="1"/>
          </xdr:nvSpPr>
          <xdr:spPr>
            <a:xfrm>
              <a:off x="930151" y="6280078"/>
              <a:ext cx="1120218"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11275E6-9229-F14F-92C2-99F2E9AA7200}"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Rate Per Miles</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N6">
          <xdr:nvSpPr>
            <xdr:cNvPr id="109" name="TextBox 108">
              <a:extLst>
                <a:ext uri="{FF2B5EF4-FFF2-40B4-BE49-F238E27FC236}">
                  <a16:creationId xmlns:a16="http://schemas.microsoft.com/office/drawing/2014/main" id="{00000000-0008-0000-0300-00006D000000}"/>
                </a:ext>
              </a:extLst>
            </xdr:cNvPr>
            <xdr:cNvSpPr txBox="1"/>
          </xdr:nvSpPr>
          <xdr:spPr>
            <a:xfrm>
              <a:off x="1022764" y="4754311"/>
              <a:ext cx="850102"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E832D56-FB32-3141-B465-F118D2E88C18}" type="TxLink">
                <a:rPr lang="en-US" sz="1200" b="1" i="0" u="none" strike="noStrike">
                  <a:solidFill>
                    <a:schemeClr val="tx1">
                      <a:lumMod val="95000"/>
                      <a:lumOff val="5000"/>
                    </a:schemeClr>
                  </a:solidFill>
                  <a:latin typeface="Baskerville"/>
                  <a:ea typeface="Baskerville"/>
                  <a:cs typeface="Times New Roman" panose="02020603050405020304" pitchFamily="18" charset="0"/>
                </a:rPr>
                <a:pPr algn="l"/>
                <a:t>$4,173</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O6">
          <xdr:nvSpPr>
            <xdr:cNvPr id="110" name="TextBox 109">
              <a:extLst>
                <a:ext uri="{FF2B5EF4-FFF2-40B4-BE49-F238E27FC236}">
                  <a16:creationId xmlns:a16="http://schemas.microsoft.com/office/drawing/2014/main" id="{00000000-0008-0000-0300-00006E000000}"/>
                </a:ext>
              </a:extLst>
            </xdr:cNvPr>
            <xdr:cNvSpPr txBox="1"/>
          </xdr:nvSpPr>
          <xdr:spPr>
            <a:xfrm>
              <a:off x="1028432" y="5420674"/>
              <a:ext cx="743004" cy="32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491A823-985F-664E-B783-F43C1BC50667}" type="TxLink">
                <a:rPr lang="en-US" sz="1200" b="1" i="0" u="none" strike="noStrike">
                  <a:solidFill>
                    <a:schemeClr val="tx1">
                      <a:lumMod val="95000"/>
                      <a:lumOff val="5000"/>
                    </a:schemeClr>
                  </a:solidFill>
                  <a:latin typeface="Baskerville"/>
                  <a:ea typeface="Baskerville"/>
                  <a:cs typeface="Times New Roman" panose="02020603050405020304" pitchFamily="18" charset="0"/>
                </a:rPr>
                <a:pPr algn="l"/>
                <a:t>$4,941</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P6">
          <xdr:nvSpPr>
            <xdr:cNvPr id="113" name="TextBox 112">
              <a:extLst>
                <a:ext uri="{FF2B5EF4-FFF2-40B4-BE49-F238E27FC236}">
                  <a16:creationId xmlns:a16="http://schemas.microsoft.com/office/drawing/2014/main" id="{00000000-0008-0000-0300-000071000000}"/>
                </a:ext>
              </a:extLst>
            </xdr:cNvPr>
            <xdr:cNvSpPr txBox="1"/>
          </xdr:nvSpPr>
          <xdr:spPr>
            <a:xfrm>
              <a:off x="1034099" y="6086817"/>
              <a:ext cx="788053"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8B9AE45-EF83-D14C-A5CD-19FA4433BF54}" type="TxLink">
                <a:rPr lang="en-US" sz="1200" b="1" i="0" u="none" strike="noStrike">
                  <a:solidFill>
                    <a:schemeClr val="tx1">
                      <a:lumMod val="95000"/>
                      <a:lumOff val="5000"/>
                    </a:schemeClr>
                  </a:solidFill>
                  <a:latin typeface="Baskerville"/>
                  <a:ea typeface="Baskerville"/>
                  <a:cs typeface="Times New Roman" panose="02020603050405020304" pitchFamily="18" charset="0"/>
                </a:rPr>
                <a:pPr algn="l"/>
                <a:t>$3,459</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Q5">
          <xdr:nvSpPr>
            <xdr:cNvPr id="114" name="TextBox 113">
              <a:extLst>
                <a:ext uri="{FF2B5EF4-FFF2-40B4-BE49-F238E27FC236}">
                  <a16:creationId xmlns:a16="http://schemas.microsoft.com/office/drawing/2014/main" id="{00000000-0008-0000-0300-000072000000}"/>
                </a:ext>
              </a:extLst>
            </xdr:cNvPr>
            <xdr:cNvSpPr txBox="1"/>
          </xdr:nvSpPr>
          <xdr:spPr>
            <a:xfrm>
              <a:off x="2495819" y="4957219"/>
              <a:ext cx="932306" cy="329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F962081-C9BA-0A4B-90D6-8D16B95C81C6}"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Extra Stops</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R5">
          <xdr:nvSpPr>
            <xdr:cNvPr id="115" name="TextBox 114">
              <a:extLst>
                <a:ext uri="{FF2B5EF4-FFF2-40B4-BE49-F238E27FC236}">
                  <a16:creationId xmlns:a16="http://schemas.microsoft.com/office/drawing/2014/main" id="{00000000-0008-0000-0300-000073000000}"/>
                </a:ext>
              </a:extLst>
            </xdr:cNvPr>
            <xdr:cNvSpPr txBox="1"/>
          </xdr:nvSpPr>
          <xdr:spPr>
            <a:xfrm>
              <a:off x="2559128" y="5598474"/>
              <a:ext cx="868997"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78963F4-993A-6640-ABD8-C381A8C1BD60}"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Extra Pay</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S5">
          <xdr:nvSpPr>
            <xdr:cNvPr id="116" name="TextBox 115">
              <a:extLst>
                <a:ext uri="{FF2B5EF4-FFF2-40B4-BE49-F238E27FC236}">
                  <a16:creationId xmlns:a16="http://schemas.microsoft.com/office/drawing/2014/main" id="{00000000-0008-0000-0300-000074000000}"/>
                </a:ext>
              </a:extLst>
            </xdr:cNvPr>
            <xdr:cNvSpPr txBox="1"/>
          </xdr:nvSpPr>
          <xdr:spPr>
            <a:xfrm>
              <a:off x="2347691" y="6290238"/>
              <a:ext cx="1300199"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FC50CC7-1E00-8440-A0F7-68BAA44DA3CA}"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Costs Driver Paid</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Q6">
          <xdr:nvSpPr>
            <xdr:cNvPr id="117" name="TextBox 116">
              <a:extLst>
                <a:ext uri="{FF2B5EF4-FFF2-40B4-BE49-F238E27FC236}">
                  <a16:creationId xmlns:a16="http://schemas.microsoft.com/office/drawing/2014/main" id="{00000000-0008-0000-0300-000075000000}"/>
                </a:ext>
              </a:extLst>
            </xdr:cNvPr>
            <xdr:cNvSpPr txBox="1"/>
          </xdr:nvSpPr>
          <xdr:spPr>
            <a:xfrm>
              <a:off x="2598006" y="4764471"/>
              <a:ext cx="889287"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94B6DA4-310B-9F49-988F-90042C4FA7D6}" type="TxLink">
                <a:rPr lang="en-US" sz="1200" b="1" i="0" u="none" strike="noStrike">
                  <a:solidFill>
                    <a:schemeClr val="tx1">
                      <a:lumMod val="95000"/>
                      <a:lumOff val="5000"/>
                    </a:schemeClr>
                  </a:solidFill>
                  <a:latin typeface="Times New Roman" panose="02020603050405020304" pitchFamily="18" charset="0"/>
                  <a:ea typeface="Baskerville"/>
                  <a:cs typeface="Times New Roman" panose="02020603050405020304" pitchFamily="18" charset="0"/>
                </a:rPr>
                <a:pPr algn="l"/>
                <a:t>$1,400</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R6">
          <xdr:nvSpPr>
            <xdr:cNvPr id="118" name="TextBox 117">
              <a:extLst>
                <a:ext uri="{FF2B5EF4-FFF2-40B4-BE49-F238E27FC236}">
                  <a16:creationId xmlns:a16="http://schemas.microsoft.com/office/drawing/2014/main" id="{00000000-0008-0000-0300-000076000000}"/>
                </a:ext>
              </a:extLst>
            </xdr:cNvPr>
            <xdr:cNvSpPr txBox="1"/>
          </xdr:nvSpPr>
          <xdr:spPr>
            <a:xfrm>
              <a:off x="2603673" y="5430834"/>
              <a:ext cx="613140" cy="32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B18FD1E-4653-284A-89A2-B7CABD3F6CB8}" type="TxLink">
                <a:rPr lang="en-US" sz="1200" b="1" i="0" u="none" strike="noStrike">
                  <a:solidFill>
                    <a:schemeClr val="tx1">
                      <a:lumMod val="95000"/>
                      <a:lumOff val="5000"/>
                    </a:schemeClr>
                  </a:solidFill>
                  <a:latin typeface="Times New Roman" panose="02020603050405020304" pitchFamily="18" charset="0"/>
                  <a:ea typeface="Baskerville"/>
                  <a:cs typeface="Times New Roman" panose="02020603050405020304" pitchFamily="18" charset="0"/>
                </a:rPr>
                <a:pPr algn="l"/>
                <a:t>$347</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S6">
          <xdr:nvSpPr>
            <xdr:cNvPr id="119" name="TextBox 118">
              <a:extLst>
                <a:ext uri="{FF2B5EF4-FFF2-40B4-BE49-F238E27FC236}">
                  <a16:creationId xmlns:a16="http://schemas.microsoft.com/office/drawing/2014/main" id="{00000000-0008-0000-0300-000077000000}"/>
                </a:ext>
              </a:extLst>
            </xdr:cNvPr>
            <xdr:cNvSpPr txBox="1"/>
          </xdr:nvSpPr>
          <xdr:spPr>
            <a:xfrm>
              <a:off x="2609340" y="6096977"/>
              <a:ext cx="708903"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A549DA1-1A45-5F4F-B76D-1C4CAD7FE9C2}" type="TxLink">
                <a:rPr lang="en-US" sz="1200" b="1" i="0" u="none" strike="noStrike">
                  <a:solidFill>
                    <a:schemeClr val="tx1">
                      <a:lumMod val="95000"/>
                      <a:lumOff val="5000"/>
                    </a:schemeClr>
                  </a:solidFill>
                  <a:latin typeface="Times New Roman" panose="02020603050405020304" pitchFamily="18" charset="0"/>
                  <a:ea typeface="Baskerville"/>
                  <a:cs typeface="Times New Roman" panose="02020603050405020304" pitchFamily="18" charset="0"/>
                </a:rPr>
                <a:pPr algn="l"/>
                <a:t>$795</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93" name="Group 1092">
            <a:extLst>
              <a:ext uri="{FF2B5EF4-FFF2-40B4-BE49-F238E27FC236}">
                <a16:creationId xmlns:a16="http://schemas.microsoft.com/office/drawing/2014/main" id="{C9F72EC6-83DA-BEC4-C573-F836F914ABA5}"/>
              </a:ext>
            </a:extLst>
          </xdr:cNvPr>
          <xdr:cNvGrpSpPr/>
        </xdr:nvGrpSpPr>
        <xdr:grpSpPr>
          <a:xfrm>
            <a:off x="2369240" y="3622491"/>
            <a:ext cx="1335773" cy="363668"/>
            <a:chOff x="2355693" y="3852784"/>
            <a:chExt cx="1322227" cy="377215"/>
          </a:xfrm>
        </xdr:grpSpPr>
        <xdr:sp macro="" textlink="Pivottable!AV6">
          <xdr:nvSpPr>
            <xdr:cNvPr id="122" name="TextBox 121">
              <a:extLst>
                <a:ext uri="{FF2B5EF4-FFF2-40B4-BE49-F238E27FC236}">
                  <a16:creationId xmlns:a16="http://schemas.microsoft.com/office/drawing/2014/main" id="{00000000-0008-0000-0300-00007A000000}"/>
                </a:ext>
              </a:extLst>
            </xdr:cNvPr>
            <xdr:cNvSpPr txBox="1"/>
          </xdr:nvSpPr>
          <xdr:spPr>
            <a:xfrm>
              <a:off x="2465873" y="3901889"/>
              <a:ext cx="1212047" cy="328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62AE42D-6E90-6B4B-BB52-717DE5AA7B5F}" type="TxLink">
                <a:rPr lang="en-US" sz="1200" b="1" i="0" u="none" strike="noStrike">
                  <a:solidFill>
                    <a:srgbClr val="3849AB"/>
                  </a:solidFill>
                  <a:latin typeface="Times New Roman" panose="02020603050405020304" pitchFamily="18" charset="0"/>
                  <a:ea typeface="Baskerville"/>
                  <a:cs typeface="Times New Roman" panose="02020603050405020304" pitchFamily="18" charset="0"/>
                </a:rPr>
                <a:pPr algn="l"/>
                <a:t>$5,205.70</a:t>
              </a:fld>
              <a:endParaRPr lang="en-US" sz="1200" b="1" i="0" u="none" strike="noStrike">
                <a:solidFill>
                  <a:srgbClr val="3849AB"/>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23" name="Rounded Rectangle 122">
              <a:extLst>
                <a:ext uri="{FF2B5EF4-FFF2-40B4-BE49-F238E27FC236}">
                  <a16:creationId xmlns:a16="http://schemas.microsoft.com/office/drawing/2014/main" id="{00000000-0008-0000-0300-00007B000000}"/>
                </a:ext>
              </a:extLst>
            </xdr:cNvPr>
            <xdr:cNvSpPr/>
          </xdr:nvSpPr>
          <xdr:spPr>
            <a:xfrm>
              <a:off x="2355693" y="3852784"/>
              <a:ext cx="1017884" cy="326661"/>
            </a:xfrm>
            <a:prstGeom prst="roundRect">
              <a:avLst>
                <a:gd name="adj" fmla="val 4839"/>
              </a:avLst>
            </a:prstGeom>
            <a:solidFill>
              <a:schemeClr val="accent1">
                <a:lumMod val="75000"/>
                <a:alpha val="9804"/>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rgbClr val="002060"/>
                </a:solidFill>
              </a:endParaRPr>
            </a:p>
          </xdr:txBody>
        </xdr:sp>
      </xdr:grpSp>
      <xdr:cxnSp macro="">
        <xdr:nvCxnSpPr>
          <xdr:cNvPr id="125" name="Straight Connector 124">
            <a:extLst>
              <a:ext uri="{FF2B5EF4-FFF2-40B4-BE49-F238E27FC236}">
                <a16:creationId xmlns:a16="http://schemas.microsoft.com/office/drawing/2014/main" id="{00000000-0008-0000-0300-00007D000000}"/>
              </a:ext>
            </a:extLst>
          </xdr:cNvPr>
          <xdr:cNvCxnSpPr/>
        </xdr:nvCxnSpPr>
        <xdr:spPr>
          <a:xfrm flipV="1">
            <a:off x="920996" y="5751643"/>
            <a:ext cx="2399237" cy="2032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6" name="Rounded Rectangle 125">
            <a:extLst>
              <a:ext uri="{FF2B5EF4-FFF2-40B4-BE49-F238E27FC236}">
                <a16:creationId xmlns:a16="http://schemas.microsoft.com/office/drawing/2014/main" id="{00000000-0008-0000-0300-00007E000000}"/>
              </a:ext>
            </a:extLst>
          </xdr:cNvPr>
          <xdr:cNvSpPr/>
        </xdr:nvSpPr>
        <xdr:spPr>
          <a:xfrm>
            <a:off x="867143" y="5966041"/>
            <a:ext cx="2534875" cy="2788492"/>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1027" name="Driver Name 1">
                <a:extLst>
                  <a:ext uri="{FF2B5EF4-FFF2-40B4-BE49-F238E27FC236}">
                    <a16:creationId xmlns:a16="http://schemas.microsoft.com/office/drawing/2014/main" id="{00000000-0008-0000-0300-000003040000}"/>
                  </a:ext>
                </a:extLst>
              </xdr:cNvPr>
              <xdr:cNvGraphicFramePr/>
            </xdr:nvGraphicFramePr>
            <xdr:xfrm>
              <a:off x="1662784" y="6472766"/>
              <a:ext cx="1681549" cy="2197101"/>
            </xdr:xfrm>
            <a:graphic>
              <a:graphicData uri="http://schemas.microsoft.com/office/drawing/2010/slicer">
                <sle:slicer xmlns:sle="http://schemas.microsoft.com/office/drawing/2010/slicer" name="Driver Name 1"/>
              </a:graphicData>
            </a:graphic>
          </xdr:graphicFrame>
        </mc:Choice>
        <mc:Fallback>
          <xdr:sp macro="" textlink="">
            <xdr:nvSpPr>
              <xdr:cNvPr id="0" name=""/>
              <xdr:cNvSpPr>
                <a:spLocks noTextEdit="1"/>
              </xdr:cNvSpPr>
            </xdr:nvSpPr>
            <xdr:spPr>
              <a:xfrm>
                <a:off x="1527317" y="6472766"/>
                <a:ext cx="1681549" cy="21971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034" name="Group 1033">
            <a:extLst>
              <a:ext uri="{FF2B5EF4-FFF2-40B4-BE49-F238E27FC236}">
                <a16:creationId xmlns:a16="http://schemas.microsoft.com/office/drawing/2014/main" id="{00000000-0008-0000-0300-00000A040000}"/>
              </a:ext>
            </a:extLst>
          </xdr:cNvPr>
          <xdr:cNvGrpSpPr/>
        </xdr:nvGrpSpPr>
        <xdr:grpSpPr>
          <a:xfrm>
            <a:off x="1143017" y="6557300"/>
            <a:ext cx="365760" cy="375601"/>
            <a:chOff x="1189602" y="7351435"/>
            <a:chExt cx="365760" cy="385300"/>
          </a:xfrm>
        </xdr:grpSpPr>
        <xdr:grpSp>
          <xdr:nvGrpSpPr>
            <xdr:cNvPr id="1024" name="Group 1023">
              <a:extLst>
                <a:ext uri="{FF2B5EF4-FFF2-40B4-BE49-F238E27FC236}">
                  <a16:creationId xmlns:a16="http://schemas.microsoft.com/office/drawing/2014/main" id="{00000000-0008-0000-0300-000000040000}"/>
                </a:ext>
              </a:extLst>
            </xdr:cNvPr>
            <xdr:cNvGrpSpPr/>
          </xdr:nvGrpSpPr>
          <xdr:grpSpPr>
            <a:xfrm>
              <a:off x="1189602" y="7351435"/>
              <a:ext cx="365760" cy="368374"/>
              <a:chOff x="1188295" y="7301780"/>
              <a:chExt cx="365760" cy="365760"/>
            </a:xfrm>
          </xdr:grpSpPr>
          <xdr:sp macro="" textlink="">
            <xdr:nvSpPr>
              <xdr:cNvPr id="1030" name="Rounded Rectangle 1029">
                <a:extLst>
                  <a:ext uri="{FF2B5EF4-FFF2-40B4-BE49-F238E27FC236}">
                    <a16:creationId xmlns:a16="http://schemas.microsoft.com/office/drawing/2014/main" id="{00000000-0008-0000-0300-000006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Rounded Rectangle 120">
                <a:extLst>
                  <a:ext uri="{FF2B5EF4-FFF2-40B4-BE49-F238E27FC236}">
                    <a16:creationId xmlns:a16="http://schemas.microsoft.com/office/drawing/2014/main" id="{00000000-0008-0000-0300-00007900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73" name="Graphic 72" descr="User with solid fill">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4507" y="7390202"/>
              <a:ext cx="295950" cy="346533"/>
            </a:xfrm>
            <a:prstGeom prst="rect">
              <a:avLst/>
            </a:prstGeom>
          </xdr:spPr>
        </xdr:pic>
      </xdr:grpSp>
      <xdr:grpSp>
        <xdr:nvGrpSpPr>
          <xdr:cNvPr id="1033" name="Group 1032">
            <a:extLst>
              <a:ext uri="{FF2B5EF4-FFF2-40B4-BE49-F238E27FC236}">
                <a16:creationId xmlns:a16="http://schemas.microsoft.com/office/drawing/2014/main" id="{00000000-0008-0000-0300-000009040000}"/>
              </a:ext>
            </a:extLst>
          </xdr:cNvPr>
          <xdr:cNvGrpSpPr/>
        </xdr:nvGrpSpPr>
        <xdr:grpSpPr>
          <a:xfrm>
            <a:off x="1156333" y="7050525"/>
            <a:ext cx="365760" cy="375601"/>
            <a:chOff x="1183437" y="7812057"/>
            <a:chExt cx="365760" cy="385300"/>
          </a:xfrm>
        </xdr:grpSpPr>
        <xdr:grpSp>
          <xdr:nvGrpSpPr>
            <xdr:cNvPr id="1026" name="Group 1025">
              <a:extLst>
                <a:ext uri="{FF2B5EF4-FFF2-40B4-BE49-F238E27FC236}">
                  <a16:creationId xmlns:a16="http://schemas.microsoft.com/office/drawing/2014/main" id="{00000000-0008-0000-0300-000002040000}"/>
                </a:ext>
              </a:extLst>
            </xdr:cNvPr>
            <xdr:cNvGrpSpPr/>
          </xdr:nvGrpSpPr>
          <xdr:grpSpPr>
            <a:xfrm>
              <a:off x="1183437" y="7812057"/>
              <a:ext cx="365760" cy="368374"/>
              <a:chOff x="1188295" y="7301780"/>
              <a:chExt cx="365760" cy="365760"/>
            </a:xfrm>
          </xdr:grpSpPr>
          <xdr:sp macro="" textlink="">
            <xdr:nvSpPr>
              <xdr:cNvPr id="1028" name="Rounded Rectangle 1027">
                <a:extLst>
                  <a:ext uri="{FF2B5EF4-FFF2-40B4-BE49-F238E27FC236}">
                    <a16:creationId xmlns:a16="http://schemas.microsoft.com/office/drawing/2014/main" id="{00000000-0008-0000-0300-000004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9" name="Rounded Rectangle 1028">
                <a:extLst>
                  <a:ext uri="{FF2B5EF4-FFF2-40B4-BE49-F238E27FC236}">
                    <a16:creationId xmlns:a16="http://schemas.microsoft.com/office/drawing/2014/main" id="{00000000-0008-0000-0300-00000504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032" name="Graphic 1031" descr="User with solid fill">
              <a:extLst>
                <a:ext uri="{FF2B5EF4-FFF2-40B4-BE49-F238E27FC236}">
                  <a16:creationId xmlns:a16="http://schemas.microsoft.com/office/drawing/2014/main" id="{00000000-0008-0000-0300-000008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18342" y="7850824"/>
              <a:ext cx="295950" cy="346533"/>
            </a:xfrm>
            <a:prstGeom prst="rect">
              <a:avLst/>
            </a:prstGeom>
          </xdr:spPr>
        </xdr:pic>
      </xdr:grpSp>
      <xdr:grpSp>
        <xdr:nvGrpSpPr>
          <xdr:cNvPr id="1035" name="Group 1034">
            <a:extLst>
              <a:ext uri="{FF2B5EF4-FFF2-40B4-BE49-F238E27FC236}">
                <a16:creationId xmlns:a16="http://schemas.microsoft.com/office/drawing/2014/main" id="{00000000-0008-0000-0300-00000B040000}"/>
              </a:ext>
            </a:extLst>
          </xdr:cNvPr>
          <xdr:cNvGrpSpPr/>
        </xdr:nvGrpSpPr>
        <xdr:grpSpPr>
          <a:xfrm>
            <a:off x="1149675" y="7556591"/>
            <a:ext cx="365760" cy="375600"/>
            <a:chOff x="1183437" y="7812057"/>
            <a:chExt cx="365760" cy="385300"/>
          </a:xfrm>
        </xdr:grpSpPr>
        <xdr:grpSp>
          <xdr:nvGrpSpPr>
            <xdr:cNvPr id="1036" name="Group 1035">
              <a:extLst>
                <a:ext uri="{FF2B5EF4-FFF2-40B4-BE49-F238E27FC236}">
                  <a16:creationId xmlns:a16="http://schemas.microsoft.com/office/drawing/2014/main" id="{00000000-0008-0000-0300-00000C040000}"/>
                </a:ext>
              </a:extLst>
            </xdr:cNvPr>
            <xdr:cNvGrpSpPr/>
          </xdr:nvGrpSpPr>
          <xdr:grpSpPr>
            <a:xfrm>
              <a:off x="1183437" y="7812057"/>
              <a:ext cx="365760" cy="368374"/>
              <a:chOff x="1188295" y="7301780"/>
              <a:chExt cx="365760" cy="365760"/>
            </a:xfrm>
          </xdr:grpSpPr>
          <xdr:sp macro="" textlink="">
            <xdr:nvSpPr>
              <xdr:cNvPr id="1038" name="Rounded Rectangle 1037">
                <a:extLst>
                  <a:ext uri="{FF2B5EF4-FFF2-40B4-BE49-F238E27FC236}">
                    <a16:creationId xmlns:a16="http://schemas.microsoft.com/office/drawing/2014/main" id="{00000000-0008-0000-0300-00000E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9" name="Rounded Rectangle 1038">
                <a:extLst>
                  <a:ext uri="{FF2B5EF4-FFF2-40B4-BE49-F238E27FC236}">
                    <a16:creationId xmlns:a16="http://schemas.microsoft.com/office/drawing/2014/main" id="{00000000-0008-0000-0300-00000F04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037" name="Graphic 1036" descr="User with solid fill">
              <a:extLst>
                <a:ext uri="{FF2B5EF4-FFF2-40B4-BE49-F238E27FC236}">
                  <a16:creationId xmlns:a16="http://schemas.microsoft.com/office/drawing/2014/main" id="{00000000-0008-0000-0300-00000D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18342" y="7850824"/>
              <a:ext cx="295950" cy="346533"/>
            </a:xfrm>
            <a:prstGeom prst="rect">
              <a:avLst/>
            </a:prstGeom>
          </xdr:spPr>
        </xdr:pic>
      </xdr:grpSp>
      <xdr:grpSp>
        <xdr:nvGrpSpPr>
          <xdr:cNvPr id="1040" name="Group 1039">
            <a:extLst>
              <a:ext uri="{FF2B5EF4-FFF2-40B4-BE49-F238E27FC236}">
                <a16:creationId xmlns:a16="http://schemas.microsoft.com/office/drawing/2014/main" id="{00000000-0008-0000-0300-000010040000}"/>
              </a:ext>
            </a:extLst>
          </xdr:cNvPr>
          <xdr:cNvGrpSpPr/>
        </xdr:nvGrpSpPr>
        <xdr:grpSpPr>
          <a:xfrm>
            <a:off x="1162992" y="8035822"/>
            <a:ext cx="365760" cy="375837"/>
            <a:chOff x="1183437" y="7812057"/>
            <a:chExt cx="365760" cy="385300"/>
          </a:xfrm>
        </xdr:grpSpPr>
        <xdr:grpSp>
          <xdr:nvGrpSpPr>
            <xdr:cNvPr id="1041" name="Group 1040">
              <a:extLst>
                <a:ext uri="{FF2B5EF4-FFF2-40B4-BE49-F238E27FC236}">
                  <a16:creationId xmlns:a16="http://schemas.microsoft.com/office/drawing/2014/main" id="{00000000-0008-0000-0300-000011040000}"/>
                </a:ext>
              </a:extLst>
            </xdr:cNvPr>
            <xdr:cNvGrpSpPr/>
          </xdr:nvGrpSpPr>
          <xdr:grpSpPr>
            <a:xfrm>
              <a:off x="1183437" y="7812057"/>
              <a:ext cx="365760" cy="368374"/>
              <a:chOff x="1188295" y="7301780"/>
              <a:chExt cx="365760" cy="365760"/>
            </a:xfrm>
          </xdr:grpSpPr>
          <xdr:sp macro="" textlink="">
            <xdr:nvSpPr>
              <xdr:cNvPr id="1043" name="Rounded Rectangle 1042">
                <a:extLst>
                  <a:ext uri="{FF2B5EF4-FFF2-40B4-BE49-F238E27FC236}">
                    <a16:creationId xmlns:a16="http://schemas.microsoft.com/office/drawing/2014/main" id="{00000000-0008-0000-0300-000013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4" name="Rounded Rectangle 1043">
                <a:extLst>
                  <a:ext uri="{FF2B5EF4-FFF2-40B4-BE49-F238E27FC236}">
                    <a16:creationId xmlns:a16="http://schemas.microsoft.com/office/drawing/2014/main" id="{00000000-0008-0000-0300-00001404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042" name="Graphic 1041" descr="User with solid fill">
              <a:extLst>
                <a:ext uri="{FF2B5EF4-FFF2-40B4-BE49-F238E27FC236}">
                  <a16:creationId xmlns:a16="http://schemas.microsoft.com/office/drawing/2014/main" id="{00000000-0008-0000-0300-000012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18342" y="7850824"/>
              <a:ext cx="295950" cy="346533"/>
            </a:xfrm>
            <a:prstGeom prst="rect">
              <a:avLst/>
            </a:prstGeom>
          </xdr:spPr>
        </xdr:pic>
      </xdr:grpSp>
      <xdr:sp macro="" textlink="">
        <xdr:nvSpPr>
          <xdr:cNvPr id="1045" name="Rounded Rectangle 1044">
            <a:extLst>
              <a:ext uri="{FF2B5EF4-FFF2-40B4-BE49-F238E27FC236}">
                <a16:creationId xmlns:a16="http://schemas.microsoft.com/office/drawing/2014/main" id="{00000000-0008-0000-0300-000015040000}"/>
              </a:ext>
            </a:extLst>
          </xdr:cNvPr>
          <xdr:cNvSpPr/>
        </xdr:nvSpPr>
        <xdr:spPr>
          <a:xfrm>
            <a:off x="3949418" y="5835227"/>
            <a:ext cx="3231275" cy="2959946"/>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L5">
        <xdr:nvSpPr>
          <xdr:cNvPr id="1049" name="TextBox 1048">
            <a:extLst>
              <a:ext uri="{FF2B5EF4-FFF2-40B4-BE49-F238E27FC236}">
                <a16:creationId xmlns:a16="http://schemas.microsoft.com/office/drawing/2014/main" id="{00000000-0008-0000-0300-000019040000}"/>
              </a:ext>
            </a:extLst>
          </xdr:cNvPr>
          <xdr:cNvSpPr txBox="1"/>
        </xdr:nvSpPr>
        <xdr:spPr>
          <a:xfrm>
            <a:off x="4086423" y="5937021"/>
            <a:ext cx="1091249" cy="313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Destination</a:t>
            </a:r>
          </a:p>
        </xdr:txBody>
      </xdr:sp>
      <xdr:sp macro="" textlink="Pivottable!AY5">
        <xdr:nvSpPr>
          <xdr:cNvPr id="1051" name="TextBox 1050">
            <a:extLst>
              <a:ext uri="{FF2B5EF4-FFF2-40B4-BE49-F238E27FC236}">
                <a16:creationId xmlns:a16="http://schemas.microsoft.com/office/drawing/2014/main" id="{00000000-0008-0000-0300-00001B040000}"/>
              </a:ext>
            </a:extLst>
          </xdr:cNvPr>
          <xdr:cNvSpPr txBox="1"/>
        </xdr:nvSpPr>
        <xdr:spPr>
          <a:xfrm>
            <a:off x="4533505" y="6202730"/>
            <a:ext cx="901049" cy="317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017B122-3440-3B4F-AFFA-FBBACF03DE29}" type="TxLink">
              <a:rPr lang="en-US" sz="1600" b="1"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Freight</a:t>
            </a:fld>
            <a:endParaRPr lang="en-US" sz="1600" b="1"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AY6">
        <xdr:nvSpPr>
          <xdr:cNvPr id="1052" name="TextBox 1051">
            <a:extLst>
              <a:ext uri="{FF2B5EF4-FFF2-40B4-BE49-F238E27FC236}">
                <a16:creationId xmlns:a16="http://schemas.microsoft.com/office/drawing/2014/main" id="{00000000-0008-0000-0300-00001C040000}"/>
              </a:ext>
            </a:extLst>
          </xdr:cNvPr>
          <xdr:cNvSpPr txBox="1"/>
        </xdr:nvSpPr>
        <xdr:spPr>
          <a:xfrm>
            <a:off x="4209858" y="6202730"/>
            <a:ext cx="499703" cy="38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8B8D387-DDC6-6B4A-B60D-FC87EF2A17D6}" type="TxLink">
              <a:rPr lang="en-US" sz="1600" b="1" i="0" u="none" strike="noStrike">
                <a:solidFill>
                  <a:schemeClr val="tx2">
                    <a:lumMod val="50000"/>
                  </a:schemeClr>
                </a:solidFill>
                <a:latin typeface="Baskerville" panose="02020502070401020303" pitchFamily="18" charset="0"/>
                <a:ea typeface="Baskerville" panose="02020502070401020303" pitchFamily="18" charset="0"/>
                <a:cs typeface="Arial"/>
              </a:rPr>
              <a:pPr algn="l"/>
              <a:t>61</a:t>
            </a:fld>
            <a:endParaRPr lang="en-US" sz="20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AX6">
        <xdr:nvSpPr>
          <xdr:cNvPr id="1053" name="TextBox 1052">
            <a:extLst>
              <a:ext uri="{FF2B5EF4-FFF2-40B4-BE49-F238E27FC236}">
                <a16:creationId xmlns:a16="http://schemas.microsoft.com/office/drawing/2014/main" id="{00000000-0008-0000-0300-00001D040000}"/>
              </a:ext>
            </a:extLst>
          </xdr:cNvPr>
          <xdr:cNvSpPr txBox="1"/>
        </xdr:nvSpPr>
        <xdr:spPr>
          <a:xfrm>
            <a:off x="5474938" y="6244007"/>
            <a:ext cx="365924" cy="286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CD571B3-76B3-CF47-A717-AEFC2C876B6C}" type="TxLink">
              <a:rPr lang="en-US" sz="1400" b="0" i="0" u="none" strike="noStrike">
                <a:solidFill>
                  <a:schemeClr val="tx2">
                    <a:lumMod val="50000"/>
                  </a:schemeClr>
                </a:solidFill>
                <a:latin typeface="Baskerville"/>
                <a:ea typeface="Baskerville"/>
                <a:cs typeface="Arial"/>
              </a:rPr>
              <a:pPr marL="0" indent="0" algn="l"/>
              <a:t>7</a:t>
            </a:fld>
            <a:endParaRPr lang="en-US" sz="1400" b="0" i="0" u="none" strike="noStrike">
              <a:solidFill>
                <a:schemeClr val="tx2">
                  <a:lumMod val="50000"/>
                </a:schemeClr>
              </a:solidFill>
              <a:latin typeface="Baskerville"/>
              <a:ea typeface="Baskerville"/>
              <a:cs typeface="Arial"/>
            </a:endParaRPr>
          </a:p>
        </xdr:txBody>
      </xdr:sp>
      <xdr:sp macro="" textlink="">
        <xdr:nvSpPr>
          <xdr:cNvPr id="1056" name="TextBox 1055">
            <a:extLst>
              <a:ext uri="{FF2B5EF4-FFF2-40B4-BE49-F238E27FC236}">
                <a16:creationId xmlns:a16="http://schemas.microsoft.com/office/drawing/2014/main" id="{00000000-0008-0000-0300-000020040000}"/>
              </a:ext>
            </a:extLst>
          </xdr:cNvPr>
          <xdr:cNvSpPr txBox="1"/>
        </xdr:nvSpPr>
        <xdr:spPr>
          <a:xfrm>
            <a:off x="5615118" y="6243683"/>
            <a:ext cx="751815" cy="313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Cities</a:t>
            </a:r>
            <a:endPar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
        <xdr:nvSpPr>
          <xdr:cNvPr id="1057" name="TextBox 1056">
            <a:extLst>
              <a:ext uri="{FF2B5EF4-FFF2-40B4-BE49-F238E27FC236}">
                <a16:creationId xmlns:a16="http://schemas.microsoft.com/office/drawing/2014/main" id="{00000000-0008-0000-0300-000021040000}"/>
              </a:ext>
            </a:extLst>
          </xdr:cNvPr>
          <xdr:cNvSpPr txBox="1"/>
        </xdr:nvSpPr>
        <xdr:spPr>
          <a:xfrm>
            <a:off x="5291058" y="6237143"/>
            <a:ext cx="244183" cy="320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a:t>
            </a:r>
          </a:p>
        </xdr:txBody>
      </xdr:sp>
      <xdr:sp macro="" textlink="">
        <xdr:nvSpPr>
          <xdr:cNvPr id="1068" name="Rectangle 1047">
            <a:extLst>
              <a:ext uri="{FF2B5EF4-FFF2-40B4-BE49-F238E27FC236}">
                <a16:creationId xmlns:a16="http://schemas.microsoft.com/office/drawing/2014/main" id="{00000000-0008-0000-0300-00002C040000}"/>
              </a:ext>
            </a:extLst>
          </xdr:cNvPr>
          <xdr:cNvSpPr/>
        </xdr:nvSpPr>
        <xdr:spPr>
          <a:xfrm>
            <a:off x="6249072" y="8552648"/>
            <a:ext cx="822329" cy="203913"/>
          </a:xfrm>
          <a:custGeom>
            <a:avLst/>
            <a:gdLst>
              <a:gd name="connsiteX0" fmla="*/ 0 w 1144974"/>
              <a:gd name="connsiteY0" fmla="*/ 0 h 250052"/>
              <a:gd name="connsiteX1" fmla="*/ 1144974 w 1144974"/>
              <a:gd name="connsiteY1" fmla="*/ 0 h 250052"/>
              <a:gd name="connsiteX2" fmla="*/ 1144974 w 1144974"/>
              <a:gd name="connsiteY2" fmla="*/ 250052 h 250052"/>
              <a:gd name="connsiteX3" fmla="*/ 0 w 1144974"/>
              <a:gd name="connsiteY3" fmla="*/ 250052 h 250052"/>
              <a:gd name="connsiteX4" fmla="*/ 0 w 1144974"/>
              <a:gd name="connsiteY4" fmla="*/ 0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19890 h 218586"/>
              <a:gd name="connsiteX1" fmla="*/ 1158879 w 1158879"/>
              <a:gd name="connsiteY1" fmla="*/ 0 h 218586"/>
              <a:gd name="connsiteX2" fmla="*/ 1158879 w 1158879"/>
              <a:gd name="connsiteY2" fmla="*/ 218586 h 218586"/>
              <a:gd name="connsiteX3" fmla="*/ 13905 w 1158879"/>
              <a:gd name="connsiteY3" fmla="*/ 218586 h 218586"/>
              <a:gd name="connsiteX4" fmla="*/ 0 w 1158879"/>
              <a:gd name="connsiteY4" fmla="*/ 19890 h 218586"/>
              <a:gd name="connsiteX0" fmla="*/ 0 w 1158879"/>
              <a:gd name="connsiteY0" fmla="*/ 24249 h 222945"/>
              <a:gd name="connsiteX1" fmla="*/ 1158879 w 1158879"/>
              <a:gd name="connsiteY1" fmla="*/ 4359 h 222945"/>
              <a:gd name="connsiteX2" fmla="*/ 1158879 w 1158879"/>
              <a:gd name="connsiteY2" fmla="*/ 222945 h 222945"/>
              <a:gd name="connsiteX3" fmla="*/ 13905 w 1158879"/>
              <a:gd name="connsiteY3" fmla="*/ 222945 h 222945"/>
              <a:gd name="connsiteX4" fmla="*/ 0 w 1158879"/>
              <a:gd name="connsiteY4" fmla="*/ 24249 h 222945"/>
              <a:gd name="connsiteX0" fmla="*/ 0 w 1158879"/>
              <a:gd name="connsiteY0" fmla="*/ 46693 h 245389"/>
              <a:gd name="connsiteX1" fmla="*/ 1152249 w 1158879"/>
              <a:gd name="connsiteY1" fmla="*/ 3204 h 245389"/>
              <a:gd name="connsiteX2" fmla="*/ 1158879 w 1158879"/>
              <a:gd name="connsiteY2" fmla="*/ 245389 h 245389"/>
              <a:gd name="connsiteX3" fmla="*/ 13905 w 1158879"/>
              <a:gd name="connsiteY3" fmla="*/ 245389 h 245389"/>
              <a:gd name="connsiteX4" fmla="*/ 0 w 1158879"/>
              <a:gd name="connsiteY4" fmla="*/ 46693 h 245389"/>
              <a:gd name="connsiteX0" fmla="*/ 5985 w 1144974"/>
              <a:gd name="connsiteY0" fmla="*/ 0 h 277360"/>
              <a:gd name="connsiteX1" fmla="*/ 1138344 w 1144974"/>
              <a:gd name="connsiteY1" fmla="*/ 35175 h 277360"/>
              <a:gd name="connsiteX2" fmla="*/ 1144974 w 1144974"/>
              <a:gd name="connsiteY2" fmla="*/ 277360 h 277360"/>
              <a:gd name="connsiteX3" fmla="*/ 0 w 1144974"/>
              <a:gd name="connsiteY3" fmla="*/ 277360 h 277360"/>
              <a:gd name="connsiteX4" fmla="*/ 5985 w 1144974"/>
              <a:gd name="connsiteY4" fmla="*/ 0 h 277360"/>
              <a:gd name="connsiteX0" fmla="*/ 0 w 1178769"/>
              <a:gd name="connsiteY0" fmla="*/ 12024 h 242185"/>
              <a:gd name="connsiteX1" fmla="*/ 1172139 w 1178769"/>
              <a:gd name="connsiteY1" fmla="*/ 0 h 242185"/>
              <a:gd name="connsiteX2" fmla="*/ 1178769 w 1178769"/>
              <a:gd name="connsiteY2" fmla="*/ 242185 h 242185"/>
              <a:gd name="connsiteX3" fmla="*/ 33795 w 1178769"/>
              <a:gd name="connsiteY3" fmla="*/ 242185 h 242185"/>
              <a:gd name="connsiteX4" fmla="*/ 0 w 1178769"/>
              <a:gd name="connsiteY4" fmla="*/ 12024 h 2421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78769" h="242185">
                <a:moveTo>
                  <a:pt x="0" y="12024"/>
                </a:moveTo>
                <a:lnTo>
                  <a:pt x="1172139" y="0"/>
                </a:lnTo>
                <a:lnTo>
                  <a:pt x="1178769" y="242185"/>
                </a:lnTo>
                <a:lnTo>
                  <a:pt x="33795" y="242185"/>
                </a:lnTo>
                <a:lnTo>
                  <a:pt x="0" y="12024"/>
                </a:ln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cx4="http://schemas.microsoft.com/office/drawing/2016/5/10/chartex" Requires="cx4">
          <xdr:graphicFrame macro="">
            <xdr:nvGraphicFramePr>
              <xdr:cNvPr id="22" name="Chart 21">
                <a:extLst>
                  <a:ext uri="{FF2B5EF4-FFF2-40B4-BE49-F238E27FC236}">
                    <a16:creationId xmlns:a16="http://schemas.microsoft.com/office/drawing/2014/main" id="{00000000-0008-0000-0300-000016000000}"/>
                  </a:ext>
                </a:extLst>
              </xdr:cNvPr>
              <xdr:cNvGraphicFramePr/>
            </xdr:nvGraphicFramePr>
            <xdr:xfrm>
              <a:off x="3978156" y="6513098"/>
              <a:ext cx="2693911" cy="255794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3978156" y="6513098"/>
                <a:ext cx="2693911" cy="25579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75" name="Rounded Rectangle 74">
            <a:extLst>
              <a:ext uri="{FF2B5EF4-FFF2-40B4-BE49-F238E27FC236}">
                <a16:creationId xmlns:a16="http://schemas.microsoft.com/office/drawing/2014/main" id="{00000000-0008-0000-0300-00004B000000}"/>
              </a:ext>
            </a:extLst>
          </xdr:cNvPr>
          <xdr:cNvSpPr/>
        </xdr:nvSpPr>
        <xdr:spPr>
          <a:xfrm>
            <a:off x="3992177" y="6631389"/>
            <a:ext cx="3010521" cy="2095313"/>
          </a:xfrm>
          <a:prstGeom prst="roundRect">
            <a:avLst>
              <a:gd name="adj" fmla="val 4839"/>
            </a:avLst>
          </a:prstGeom>
          <a:solidFill>
            <a:schemeClr val="bg1">
              <a:alpha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67" name="Group 1066">
            <a:extLst>
              <a:ext uri="{FF2B5EF4-FFF2-40B4-BE49-F238E27FC236}">
                <a16:creationId xmlns:a16="http://schemas.microsoft.com/office/drawing/2014/main" id="{00000000-0008-0000-0300-00002B040000}"/>
              </a:ext>
            </a:extLst>
          </xdr:cNvPr>
          <xdr:cNvGrpSpPr/>
        </xdr:nvGrpSpPr>
        <xdr:grpSpPr>
          <a:xfrm>
            <a:off x="5239248" y="6735136"/>
            <a:ext cx="2086334" cy="1837626"/>
            <a:chOff x="6857296" y="7243723"/>
            <a:chExt cx="1575754" cy="1822059"/>
          </a:xfrm>
          <a:effectLst>
            <a:outerShdw blurRad="50800" dist="50800" dir="5400000" sx="1000" sy="1000" algn="ctr" rotWithShape="0">
              <a:srgbClr val="000000">
                <a:alpha val="43137"/>
              </a:srgbClr>
            </a:outerShdw>
          </a:effectLst>
        </xdr:grpSpPr>
        <xdr:grpSp>
          <xdr:nvGrpSpPr>
            <xdr:cNvPr id="94" name="Group 93">
              <a:extLst>
                <a:ext uri="{FF2B5EF4-FFF2-40B4-BE49-F238E27FC236}">
                  <a16:creationId xmlns:a16="http://schemas.microsoft.com/office/drawing/2014/main" id="{00000000-0008-0000-0300-00005E000000}"/>
                </a:ext>
              </a:extLst>
            </xdr:cNvPr>
            <xdr:cNvGrpSpPr/>
          </xdr:nvGrpSpPr>
          <xdr:grpSpPr>
            <a:xfrm>
              <a:off x="6974902" y="7243723"/>
              <a:ext cx="1091524" cy="251842"/>
              <a:chOff x="7085652" y="7179870"/>
              <a:chExt cx="1370625" cy="231553"/>
            </a:xfrm>
          </xdr:grpSpPr>
          <xdr:sp macro="" textlink="Pivottable!BA11">
            <xdr:nvSpPr>
              <xdr:cNvPr id="80" name="TextBox 79">
                <a:extLst>
                  <a:ext uri="{FF2B5EF4-FFF2-40B4-BE49-F238E27FC236}">
                    <a16:creationId xmlns:a16="http://schemas.microsoft.com/office/drawing/2014/main" id="{00000000-0008-0000-0300-000050000000}"/>
                  </a:ext>
                </a:extLst>
              </xdr:cNvPr>
              <xdr:cNvSpPr txBox="1"/>
            </xdr:nvSpPr>
            <xdr:spPr>
              <a:xfrm>
                <a:off x="7355670" y="7179878"/>
                <a:ext cx="1100607"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7F3BA4-122B-474B-975B-4F8623D5692E}" type="TxLink">
                  <a:rPr lang="en-US" sz="14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Alberta</a:t>
                </a:fld>
                <a:endParaRPr lang="en-US" sz="18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1">
            <xdr:nvSpPr>
              <xdr:cNvPr id="83" name="TextBox 82">
                <a:extLst>
                  <a:ext uri="{FF2B5EF4-FFF2-40B4-BE49-F238E27FC236}">
                    <a16:creationId xmlns:a16="http://schemas.microsoft.com/office/drawing/2014/main" id="{00000000-0008-0000-0300-000053000000}"/>
                  </a:ext>
                </a:extLst>
              </xdr:cNvPr>
              <xdr:cNvSpPr txBox="1"/>
            </xdr:nvSpPr>
            <xdr:spPr>
              <a:xfrm>
                <a:off x="7085652" y="7179870"/>
                <a:ext cx="143442"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F8545D-9F22-E648-9483-D9EE7BD21BBF}" type="TxLink">
                  <a:rPr lang="en-US" sz="14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4</a:t>
                </a:fld>
                <a:endParaRPr lang="en-US" sz="18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98" name="Group 97">
              <a:extLst>
                <a:ext uri="{FF2B5EF4-FFF2-40B4-BE49-F238E27FC236}">
                  <a16:creationId xmlns:a16="http://schemas.microsoft.com/office/drawing/2014/main" id="{00000000-0008-0000-0300-000062000000}"/>
                </a:ext>
              </a:extLst>
            </xdr:cNvPr>
            <xdr:cNvGrpSpPr/>
          </xdr:nvGrpSpPr>
          <xdr:grpSpPr>
            <a:xfrm>
              <a:off x="6974901" y="7521235"/>
              <a:ext cx="1437993" cy="238266"/>
              <a:chOff x="6646254" y="7137683"/>
              <a:chExt cx="1440864" cy="238266"/>
            </a:xfrm>
          </xdr:grpSpPr>
          <xdr:sp macro="" textlink="Pivottable!BA12">
            <xdr:nvSpPr>
              <xdr:cNvPr id="100" name="TextBox 99">
                <a:extLst>
                  <a:ext uri="{FF2B5EF4-FFF2-40B4-BE49-F238E27FC236}">
                    <a16:creationId xmlns:a16="http://schemas.microsoft.com/office/drawing/2014/main" id="{00000000-0008-0000-0300-000064000000}"/>
                  </a:ext>
                </a:extLst>
              </xdr:cNvPr>
              <xdr:cNvSpPr txBox="1"/>
            </xdr:nvSpPr>
            <xdr:spPr>
              <a:xfrm>
                <a:off x="6854983" y="7137683"/>
                <a:ext cx="1232135"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1090C56-DD4B-F349-A616-D05D8121518C}" type="TxLink">
                  <a:rPr lang="en-US" sz="14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British Columbia</a:t>
                </a:fld>
                <a:endParaRPr lang="en-US" sz="18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2">
            <xdr:nvSpPr>
              <xdr:cNvPr id="101" name="TextBox 100">
                <a:extLst>
                  <a:ext uri="{FF2B5EF4-FFF2-40B4-BE49-F238E27FC236}">
                    <a16:creationId xmlns:a16="http://schemas.microsoft.com/office/drawing/2014/main" id="{00000000-0008-0000-0300-000065000000}"/>
                  </a:ext>
                </a:extLst>
              </xdr:cNvPr>
              <xdr:cNvSpPr txBox="1"/>
            </xdr:nvSpPr>
            <xdr:spPr>
              <a:xfrm>
                <a:off x="6646254" y="7144404"/>
                <a:ext cx="114461"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DA16AB-29F7-814B-B276-1474C137682B}" type="TxLink">
                  <a:rPr lang="en-US" sz="14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6</a:t>
                </a:fld>
                <a:endParaRPr lang="en-US" sz="18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6" name="Group 105">
              <a:extLst>
                <a:ext uri="{FF2B5EF4-FFF2-40B4-BE49-F238E27FC236}">
                  <a16:creationId xmlns:a16="http://schemas.microsoft.com/office/drawing/2014/main" id="{00000000-0008-0000-0300-00006A000000}"/>
                </a:ext>
              </a:extLst>
            </xdr:cNvPr>
            <xdr:cNvGrpSpPr/>
          </xdr:nvGrpSpPr>
          <xdr:grpSpPr>
            <a:xfrm>
              <a:off x="6864018" y="7785177"/>
              <a:ext cx="1087441" cy="244986"/>
              <a:chOff x="6467837" y="7164561"/>
              <a:chExt cx="1089615" cy="244986"/>
            </a:xfrm>
          </xdr:grpSpPr>
          <xdr:sp macro="" textlink="Pivottable!BA13">
            <xdr:nvSpPr>
              <xdr:cNvPr id="107" name="TextBox 106">
                <a:extLst>
                  <a:ext uri="{FF2B5EF4-FFF2-40B4-BE49-F238E27FC236}">
                    <a16:creationId xmlns:a16="http://schemas.microsoft.com/office/drawing/2014/main" id="{00000000-0008-0000-0300-00006B000000}"/>
                  </a:ext>
                </a:extLst>
              </xdr:cNvPr>
              <xdr:cNvSpPr txBox="1"/>
            </xdr:nvSpPr>
            <xdr:spPr>
              <a:xfrm>
                <a:off x="6794394" y="7164561"/>
                <a:ext cx="763058"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CA184F-E8C6-B447-A1A7-1EF547A84FB1}" type="TxLink">
                  <a:rPr lang="en-US" sz="14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Manitoba</a:t>
                </a:fld>
                <a:endParaRPr lang="en-US" sz="18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3">
            <xdr:nvSpPr>
              <xdr:cNvPr id="108" name="TextBox 107">
                <a:extLst>
                  <a:ext uri="{FF2B5EF4-FFF2-40B4-BE49-F238E27FC236}">
                    <a16:creationId xmlns:a16="http://schemas.microsoft.com/office/drawing/2014/main" id="{00000000-0008-0000-0300-00006C000000}"/>
                  </a:ext>
                </a:extLst>
              </xdr:cNvPr>
              <xdr:cNvSpPr txBox="1"/>
            </xdr:nvSpPr>
            <xdr:spPr>
              <a:xfrm>
                <a:off x="6467837" y="7178002"/>
                <a:ext cx="336647"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ECEAFF-9219-9646-8839-B7283C40CFD2}" type="TxLink">
                  <a:rPr lang="en-US" sz="14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10</a:t>
                </a:fld>
                <a:endParaRPr lang="en-US" sz="18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11" name="Group 110">
              <a:extLst>
                <a:ext uri="{FF2B5EF4-FFF2-40B4-BE49-F238E27FC236}">
                  <a16:creationId xmlns:a16="http://schemas.microsoft.com/office/drawing/2014/main" id="{00000000-0008-0000-0300-00006F000000}"/>
                </a:ext>
              </a:extLst>
            </xdr:cNvPr>
            <xdr:cNvGrpSpPr/>
          </xdr:nvGrpSpPr>
          <xdr:grpSpPr>
            <a:xfrm>
              <a:off x="6968180" y="8053154"/>
              <a:ext cx="1464870" cy="238266"/>
              <a:chOff x="6572199" y="7175313"/>
              <a:chExt cx="1467797" cy="238266"/>
            </a:xfrm>
          </xdr:grpSpPr>
          <xdr:sp macro="" textlink="Pivottable!BA14">
            <xdr:nvSpPr>
              <xdr:cNvPr id="112" name="TextBox 111">
                <a:extLst>
                  <a:ext uri="{FF2B5EF4-FFF2-40B4-BE49-F238E27FC236}">
                    <a16:creationId xmlns:a16="http://schemas.microsoft.com/office/drawing/2014/main" id="{00000000-0008-0000-0300-000070000000}"/>
                  </a:ext>
                </a:extLst>
              </xdr:cNvPr>
              <xdr:cNvSpPr txBox="1"/>
            </xdr:nvSpPr>
            <xdr:spPr>
              <a:xfrm>
                <a:off x="6787663" y="7175313"/>
                <a:ext cx="1252333"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FAA70C2-27AD-F745-A513-4D27BE5AB76E}" type="TxLink">
                  <a:rPr lang="en-US" sz="14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New Brunswick</a:t>
                </a:fld>
                <a:endParaRPr lang="en-US" sz="18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4">
            <xdr:nvSpPr>
              <xdr:cNvPr id="127" name="TextBox 126">
                <a:extLst>
                  <a:ext uri="{FF2B5EF4-FFF2-40B4-BE49-F238E27FC236}">
                    <a16:creationId xmlns:a16="http://schemas.microsoft.com/office/drawing/2014/main" id="{00000000-0008-0000-0300-00007F000000}"/>
                  </a:ext>
                </a:extLst>
              </xdr:cNvPr>
              <xdr:cNvSpPr txBox="1"/>
            </xdr:nvSpPr>
            <xdr:spPr>
              <a:xfrm>
                <a:off x="6572199" y="7182034"/>
                <a:ext cx="127928"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CF1929-BBBA-E941-A895-A75FFF5AAAC8}" type="TxLink">
                  <a:rPr lang="en-US" sz="14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7</a:t>
                </a:fld>
                <a:endParaRPr lang="en-US" sz="18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31" name="Group 1030">
              <a:extLst>
                <a:ext uri="{FF2B5EF4-FFF2-40B4-BE49-F238E27FC236}">
                  <a16:creationId xmlns:a16="http://schemas.microsoft.com/office/drawing/2014/main" id="{00000000-0008-0000-0300-000007040000}"/>
                </a:ext>
              </a:extLst>
            </xdr:cNvPr>
            <xdr:cNvGrpSpPr/>
          </xdr:nvGrpSpPr>
          <xdr:grpSpPr>
            <a:xfrm>
              <a:off x="6953669" y="8317098"/>
              <a:ext cx="1136745" cy="247673"/>
              <a:chOff x="6526738" y="7175313"/>
              <a:chExt cx="1025206" cy="247673"/>
            </a:xfrm>
          </xdr:grpSpPr>
          <xdr:sp macro="" textlink="Pivottable!BA15">
            <xdr:nvSpPr>
              <xdr:cNvPr id="1046" name="TextBox 1045">
                <a:extLst>
                  <a:ext uri="{FF2B5EF4-FFF2-40B4-BE49-F238E27FC236}">
                    <a16:creationId xmlns:a16="http://schemas.microsoft.com/office/drawing/2014/main" id="{00000000-0008-0000-0300-000016040000}"/>
                  </a:ext>
                </a:extLst>
              </xdr:cNvPr>
              <xdr:cNvSpPr txBox="1"/>
            </xdr:nvSpPr>
            <xdr:spPr>
              <a:xfrm>
                <a:off x="6727729" y="7175313"/>
                <a:ext cx="824215"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C438088-D7A6-E347-9773-B4E6044720C9}" type="TxLink">
                  <a:rPr lang="en-US" sz="14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Nova Scotia</a:t>
                </a:fld>
                <a:endParaRPr lang="en-US" sz="18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5">
            <xdr:nvSpPr>
              <xdr:cNvPr id="1047" name="TextBox 1046">
                <a:extLst>
                  <a:ext uri="{FF2B5EF4-FFF2-40B4-BE49-F238E27FC236}">
                    <a16:creationId xmlns:a16="http://schemas.microsoft.com/office/drawing/2014/main" id="{00000000-0008-0000-0300-000017040000}"/>
                  </a:ext>
                </a:extLst>
              </xdr:cNvPr>
              <xdr:cNvSpPr txBox="1"/>
            </xdr:nvSpPr>
            <xdr:spPr>
              <a:xfrm>
                <a:off x="6526738" y="7191441"/>
                <a:ext cx="141394"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B79D01-08C3-4F47-ADCB-2EBF39C01EE8}" type="TxLink">
                  <a:rPr lang="en-US" sz="14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5</a:t>
                </a:fld>
                <a:endParaRPr lang="en-US" sz="18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54" name="Group 1053">
              <a:extLst>
                <a:ext uri="{FF2B5EF4-FFF2-40B4-BE49-F238E27FC236}">
                  <a16:creationId xmlns:a16="http://schemas.microsoft.com/office/drawing/2014/main" id="{00000000-0008-0000-0300-00001E040000}"/>
                </a:ext>
              </a:extLst>
            </xdr:cNvPr>
            <xdr:cNvGrpSpPr/>
          </xdr:nvGrpSpPr>
          <xdr:grpSpPr>
            <a:xfrm>
              <a:off x="6857296" y="8574322"/>
              <a:ext cx="1044894" cy="247673"/>
              <a:chOff x="6528432" y="7175313"/>
              <a:chExt cx="1046982" cy="247673"/>
            </a:xfrm>
          </xdr:grpSpPr>
          <xdr:sp macro="" textlink="Pivottable!BA16">
            <xdr:nvSpPr>
              <xdr:cNvPr id="1055" name="TextBox 1054">
                <a:extLst>
                  <a:ext uri="{FF2B5EF4-FFF2-40B4-BE49-F238E27FC236}">
                    <a16:creationId xmlns:a16="http://schemas.microsoft.com/office/drawing/2014/main" id="{00000000-0008-0000-0300-00001F040000}"/>
                  </a:ext>
                </a:extLst>
              </xdr:cNvPr>
              <xdr:cNvSpPr txBox="1"/>
            </xdr:nvSpPr>
            <xdr:spPr>
              <a:xfrm>
                <a:off x="6841524" y="7175313"/>
                <a:ext cx="733890"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CA24BC9-3364-7840-96A9-27DBFD2FBFAB}" type="TxLink">
                  <a:rPr lang="en-US" sz="14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Nunavut</a:t>
                </a:fld>
                <a:endParaRPr lang="en-US" sz="18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6">
            <xdr:nvSpPr>
              <xdr:cNvPr id="1058" name="TextBox 1057">
                <a:extLst>
                  <a:ext uri="{FF2B5EF4-FFF2-40B4-BE49-F238E27FC236}">
                    <a16:creationId xmlns:a16="http://schemas.microsoft.com/office/drawing/2014/main" id="{00000000-0008-0000-0300-000022040000}"/>
                  </a:ext>
                </a:extLst>
              </xdr:cNvPr>
              <xdr:cNvSpPr txBox="1"/>
            </xdr:nvSpPr>
            <xdr:spPr>
              <a:xfrm>
                <a:off x="6528432" y="7191441"/>
                <a:ext cx="350115"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B92489-45C1-EC47-93B9-75C4AF6E5C9E}" type="TxLink">
                  <a:rPr lang="en-US" sz="14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28</a:t>
                </a:fld>
                <a:endParaRPr lang="en-US" sz="18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59" name="Group 1058">
              <a:extLst>
                <a:ext uri="{FF2B5EF4-FFF2-40B4-BE49-F238E27FC236}">
                  <a16:creationId xmlns:a16="http://schemas.microsoft.com/office/drawing/2014/main" id="{00000000-0008-0000-0300-000023040000}"/>
                </a:ext>
              </a:extLst>
            </xdr:cNvPr>
            <xdr:cNvGrpSpPr/>
          </xdr:nvGrpSpPr>
          <xdr:grpSpPr>
            <a:xfrm>
              <a:off x="6971531" y="8818109"/>
              <a:ext cx="776127" cy="247673"/>
              <a:chOff x="6663082" y="7175313"/>
              <a:chExt cx="777677" cy="247673"/>
            </a:xfrm>
          </xdr:grpSpPr>
          <xdr:sp macro="" textlink="Pivottable!BA17">
            <xdr:nvSpPr>
              <xdr:cNvPr id="1060" name="TextBox 1059">
                <a:extLst>
                  <a:ext uri="{FF2B5EF4-FFF2-40B4-BE49-F238E27FC236}">
                    <a16:creationId xmlns:a16="http://schemas.microsoft.com/office/drawing/2014/main" id="{00000000-0008-0000-0300-000024040000}"/>
                  </a:ext>
                </a:extLst>
              </xdr:cNvPr>
              <xdr:cNvSpPr txBox="1"/>
            </xdr:nvSpPr>
            <xdr:spPr>
              <a:xfrm>
                <a:off x="6854975" y="7175313"/>
                <a:ext cx="585784"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522F0DA-976E-054C-92CB-05232214D118}" type="TxLink">
                  <a:rPr lang="en-US" sz="14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Yukon</a:t>
                </a:fld>
                <a:endParaRPr lang="en-US" sz="18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7">
            <xdr:nvSpPr>
              <xdr:cNvPr id="1061" name="TextBox 1060">
                <a:extLst>
                  <a:ext uri="{FF2B5EF4-FFF2-40B4-BE49-F238E27FC236}">
                    <a16:creationId xmlns:a16="http://schemas.microsoft.com/office/drawing/2014/main" id="{00000000-0008-0000-0300-000025040000}"/>
                  </a:ext>
                </a:extLst>
              </xdr:cNvPr>
              <xdr:cNvSpPr txBox="1"/>
            </xdr:nvSpPr>
            <xdr:spPr>
              <a:xfrm>
                <a:off x="6663082" y="7191441"/>
                <a:ext cx="121194"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657755-EA52-974B-9E98-BAAA61315A9C}" type="TxLink">
                  <a:rPr lang="en-US" sz="14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1</a:t>
                </a:fld>
                <a:endParaRPr lang="en-US" sz="18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sp macro="" textlink="">
        <xdr:nvSpPr>
          <xdr:cNvPr id="1050" name="Rounded Rectangle 1049">
            <a:extLst>
              <a:ext uri="{FF2B5EF4-FFF2-40B4-BE49-F238E27FC236}">
                <a16:creationId xmlns:a16="http://schemas.microsoft.com/office/drawing/2014/main" id="{00000000-0008-0000-0300-00001A040000}"/>
              </a:ext>
            </a:extLst>
          </xdr:cNvPr>
          <xdr:cNvSpPr/>
        </xdr:nvSpPr>
        <xdr:spPr>
          <a:xfrm>
            <a:off x="13289578" y="6480201"/>
            <a:ext cx="3261053" cy="2344888"/>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72" name="Group 1171">
            <a:extLst>
              <a:ext uri="{FF2B5EF4-FFF2-40B4-BE49-F238E27FC236}">
                <a16:creationId xmlns:a16="http://schemas.microsoft.com/office/drawing/2014/main" id="{00000000-0008-0000-0300-000094040000}"/>
              </a:ext>
            </a:extLst>
          </xdr:cNvPr>
          <xdr:cNvGrpSpPr/>
        </xdr:nvGrpSpPr>
        <xdr:grpSpPr>
          <a:xfrm>
            <a:off x="7916892" y="6707535"/>
            <a:ext cx="4334375" cy="1779751"/>
            <a:chOff x="7873459" y="6839453"/>
            <a:chExt cx="4166035" cy="2100375"/>
          </a:xfrm>
        </xdr:grpSpPr>
        <xdr:cxnSp macro="">
          <xdr:nvCxnSpPr>
            <xdr:cNvPr id="1085" name="Straight Connector 1084">
              <a:extLst>
                <a:ext uri="{FF2B5EF4-FFF2-40B4-BE49-F238E27FC236}">
                  <a16:creationId xmlns:a16="http://schemas.microsoft.com/office/drawing/2014/main" id="{00000000-0008-0000-0300-00003D040000}"/>
                </a:ext>
              </a:extLst>
            </xdr:cNvPr>
            <xdr:cNvCxnSpPr>
              <a:endCxn id="1099" idx="2"/>
            </xdr:cNvCxnSpPr>
          </xdr:nvCxnSpPr>
          <xdr:spPr>
            <a:xfrm flipH="1">
              <a:off x="7873608" y="6839453"/>
              <a:ext cx="2865" cy="1723240"/>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94" name="Straight Connector 1093">
              <a:extLst>
                <a:ext uri="{FF2B5EF4-FFF2-40B4-BE49-F238E27FC236}">
                  <a16:creationId xmlns:a16="http://schemas.microsoft.com/office/drawing/2014/main" id="{00000000-0008-0000-0300-000046040000}"/>
                </a:ext>
              </a:extLst>
            </xdr:cNvPr>
            <xdr:cNvCxnSpPr/>
          </xdr:nvCxnSpPr>
          <xdr:spPr>
            <a:xfrm>
              <a:off x="8199828" y="8936060"/>
              <a:ext cx="3515094" cy="284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96" name="Straight Connector 1095">
              <a:extLst>
                <a:ext uri="{FF2B5EF4-FFF2-40B4-BE49-F238E27FC236}">
                  <a16:creationId xmlns:a16="http://schemas.microsoft.com/office/drawing/2014/main" id="{00000000-0008-0000-0300-000048040000}"/>
                </a:ext>
              </a:extLst>
            </xdr:cNvPr>
            <xdr:cNvCxnSpPr/>
          </xdr:nvCxnSpPr>
          <xdr:spPr>
            <a:xfrm>
              <a:off x="12037039" y="8056573"/>
              <a:ext cx="1586" cy="52413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99" name="Arc 1098">
              <a:extLst>
                <a:ext uri="{FF2B5EF4-FFF2-40B4-BE49-F238E27FC236}">
                  <a16:creationId xmlns:a16="http://schemas.microsoft.com/office/drawing/2014/main" id="{00000000-0008-0000-0300-00004B040000}"/>
                </a:ext>
              </a:extLst>
            </xdr:cNvPr>
            <xdr:cNvSpPr/>
          </xdr:nvSpPr>
          <xdr:spPr>
            <a:xfrm rot="10800000">
              <a:off x="7873459" y="8206341"/>
              <a:ext cx="742901" cy="733487"/>
            </a:xfrm>
            <a:prstGeom prst="arc">
              <a:avLst>
                <a:gd name="adj1" fmla="val 16555186"/>
                <a:gd name="adj2" fmla="val 99924"/>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04" name="Arc 1103">
              <a:extLst>
                <a:ext uri="{FF2B5EF4-FFF2-40B4-BE49-F238E27FC236}">
                  <a16:creationId xmlns:a16="http://schemas.microsoft.com/office/drawing/2014/main" id="{00000000-0008-0000-0300-000050040000}"/>
                </a:ext>
              </a:extLst>
            </xdr:cNvPr>
            <xdr:cNvSpPr/>
          </xdr:nvSpPr>
          <xdr:spPr>
            <a:xfrm rot="4938756">
              <a:off x="11304024" y="8203076"/>
              <a:ext cx="731829" cy="739111"/>
            </a:xfrm>
            <a:prstGeom prst="arc">
              <a:avLst>
                <a:gd name="adj1" fmla="val 16660083"/>
                <a:gd name="adj2" fmla="val 458606"/>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1130" name="Rounded Rectangle 1129">
            <a:extLst>
              <a:ext uri="{FF2B5EF4-FFF2-40B4-BE49-F238E27FC236}">
                <a16:creationId xmlns:a16="http://schemas.microsoft.com/office/drawing/2014/main" id="{00000000-0008-0000-0300-00006A040000}"/>
              </a:ext>
            </a:extLst>
          </xdr:cNvPr>
          <xdr:cNvSpPr/>
        </xdr:nvSpPr>
        <xdr:spPr>
          <a:xfrm>
            <a:off x="7533743" y="6885967"/>
            <a:ext cx="1984606" cy="262572"/>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table!BE6">
        <xdr:nvSpPr>
          <xdr:cNvPr id="1080" name="TextBox 1079">
            <a:extLst>
              <a:ext uri="{FF2B5EF4-FFF2-40B4-BE49-F238E27FC236}">
                <a16:creationId xmlns:a16="http://schemas.microsoft.com/office/drawing/2014/main" id="{00000000-0008-0000-0300-000038040000}"/>
              </a:ext>
            </a:extLst>
          </xdr:cNvPr>
          <xdr:cNvSpPr txBox="1"/>
        </xdr:nvSpPr>
        <xdr:spPr>
          <a:xfrm>
            <a:off x="7598877" y="6905603"/>
            <a:ext cx="715203" cy="292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2BC8E86-EB58-A649-B291-676BB77673E4}" type="TxLink">
              <a:rPr lang="en-US" sz="1100" b="1" i="0" u="none" strike="noStrike">
                <a:solidFill>
                  <a:schemeClr val="tx1">
                    <a:lumMod val="95000"/>
                    <a:lumOff val="5000"/>
                  </a:schemeClr>
                </a:solidFill>
                <a:latin typeface="Baskerville"/>
                <a:ea typeface="Baskerville"/>
                <a:cs typeface="Arial"/>
              </a:rPr>
              <a:pPr algn="l"/>
              <a:t>$46,675</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078" name="TextBox 1077">
            <a:extLst>
              <a:ext uri="{FF2B5EF4-FFF2-40B4-BE49-F238E27FC236}">
                <a16:creationId xmlns:a16="http://schemas.microsoft.com/office/drawing/2014/main" id="{00000000-0008-0000-0300-000036040000}"/>
              </a:ext>
            </a:extLst>
          </xdr:cNvPr>
          <xdr:cNvSpPr txBox="1"/>
        </xdr:nvSpPr>
        <xdr:spPr>
          <a:xfrm>
            <a:off x="8140375" y="6897554"/>
            <a:ext cx="1425673" cy="233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Final Condition Type </a:t>
            </a:r>
            <a:endParaRPr lang="en-US" sz="11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163" name="TextBox 1162">
            <a:extLst>
              <a:ext uri="{FF2B5EF4-FFF2-40B4-BE49-F238E27FC236}">
                <a16:creationId xmlns:a16="http://schemas.microsoft.com/office/drawing/2014/main" id="{00000000-0008-0000-0300-00008B040000}"/>
              </a:ext>
            </a:extLst>
          </xdr:cNvPr>
          <xdr:cNvSpPr txBox="1"/>
        </xdr:nvSpPr>
        <xdr:spPr>
          <a:xfrm>
            <a:off x="9607697" y="7253531"/>
            <a:ext cx="1601209" cy="337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latin typeface="Times New Roman" panose="02020603050405020304" pitchFamily="18" charset="0"/>
                <a:cs typeface="Times New Roman" panose="02020603050405020304" pitchFamily="18" charset="0"/>
              </a:rPr>
              <a:t>Pricing</a:t>
            </a:r>
            <a:r>
              <a:rPr lang="en-US" sz="1400" b="1" baseline="0">
                <a:solidFill>
                  <a:schemeClr val="tx1"/>
                </a:solidFill>
                <a:latin typeface="Times New Roman" panose="02020603050405020304" pitchFamily="18" charset="0"/>
                <a:cs typeface="Times New Roman" panose="02020603050405020304" pitchFamily="18" charset="0"/>
              </a:rPr>
              <a:t> Procedure</a:t>
            </a:r>
            <a:endParaRPr lang="en-US" sz="1400" b="1">
              <a:solidFill>
                <a:schemeClr val="tx1"/>
              </a:solidFill>
              <a:latin typeface="Times New Roman" panose="02020603050405020304" pitchFamily="18" charset="0"/>
              <a:cs typeface="Times New Roman" panose="02020603050405020304" pitchFamily="18" charset="0"/>
            </a:endParaRPr>
          </a:p>
        </xdr:txBody>
      </xdr:sp>
      <xdr:grpSp>
        <xdr:nvGrpSpPr>
          <xdr:cNvPr id="1173" name="Group 1172">
            <a:extLst>
              <a:ext uri="{FF2B5EF4-FFF2-40B4-BE49-F238E27FC236}">
                <a16:creationId xmlns:a16="http://schemas.microsoft.com/office/drawing/2014/main" id="{00000000-0008-0000-0300-000095040000}"/>
              </a:ext>
            </a:extLst>
          </xdr:cNvPr>
          <xdr:cNvGrpSpPr/>
        </xdr:nvGrpSpPr>
        <xdr:grpSpPr>
          <a:xfrm>
            <a:off x="9567646" y="7192453"/>
            <a:ext cx="203145" cy="128771"/>
            <a:chOff x="9529774" y="7507466"/>
            <a:chExt cx="203145" cy="137998"/>
          </a:xfrm>
        </xdr:grpSpPr>
        <xdr:cxnSp macro="">
          <xdr:nvCxnSpPr>
            <xdr:cNvPr id="1166" name="Straight Connector 1165">
              <a:extLst>
                <a:ext uri="{FF2B5EF4-FFF2-40B4-BE49-F238E27FC236}">
                  <a16:creationId xmlns:a16="http://schemas.microsoft.com/office/drawing/2014/main" id="{00000000-0008-0000-0300-00008E040000}"/>
                </a:ext>
              </a:extLst>
            </xdr:cNvPr>
            <xdr:cNvCxnSpPr/>
          </xdr:nvCxnSpPr>
          <xdr:spPr>
            <a:xfrm flipV="1">
              <a:off x="9529774" y="7507466"/>
              <a:ext cx="1369" cy="13799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68" name="Straight Connector 1167">
              <a:extLst>
                <a:ext uri="{FF2B5EF4-FFF2-40B4-BE49-F238E27FC236}">
                  <a16:creationId xmlns:a16="http://schemas.microsoft.com/office/drawing/2014/main" id="{00000000-0008-0000-0300-000090040000}"/>
                </a:ext>
              </a:extLst>
            </xdr:cNvPr>
            <xdr:cNvCxnSpPr/>
          </xdr:nvCxnSpPr>
          <xdr:spPr>
            <a:xfrm>
              <a:off x="9531143" y="7507466"/>
              <a:ext cx="201776" cy="0"/>
            </a:xfrm>
            <a:prstGeom prst="line">
              <a:avLst/>
            </a:prstGeom>
          </xdr:spPr>
          <xdr:style>
            <a:lnRef idx="1">
              <a:schemeClr val="dk1"/>
            </a:lnRef>
            <a:fillRef idx="0">
              <a:schemeClr val="dk1"/>
            </a:fillRef>
            <a:effectRef idx="0">
              <a:schemeClr val="dk1"/>
            </a:effectRef>
            <a:fontRef idx="minor">
              <a:schemeClr val="tx1"/>
            </a:fontRef>
          </xdr:style>
        </xdr:cxnSp>
      </xdr:grpSp>
      <xdr:grpSp>
        <xdr:nvGrpSpPr>
          <xdr:cNvPr id="1182" name="Group 1181">
            <a:extLst>
              <a:ext uri="{FF2B5EF4-FFF2-40B4-BE49-F238E27FC236}">
                <a16:creationId xmlns:a16="http://schemas.microsoft.com/office/drawing/2014/main" id="{00000000-0008-0000-0300-00009E040000}"/>
              </a:ext>
            </a:extLst>
          </xdr:cNvPr>
          <xdr:cNvGrpSpPr/>
        </xdr:nvGrpSpPr>
        <xdr:grpSpPr>
          <a:xfrm>
            <a:off x="11059657" y="7420013"/>
            <a:ext cx="201776" cy="137763"/>
            <a:chOff x="10898000" y="7643951"/>
            <a:chExt cx="201776" cy="137998"/>
          </a:xfrm>
        </xdr:grpSpPr>
        <xdr:cxnSp macro="">
          <xdr:nvCxnSpPr>
            <xdr:cNvPr id="1176" name="Straight Connector 1175">
              <a:extLst>
                <a:ext uri="{FF2B5EF4-FFF2-40B4-BE49-F238E27FC236}">
                  <a16:creationId xmlns:a16="http://schemas.microsoft.com/office/drawing/2014/main" id="{00000000-0008-0000-0300-000098040000}"/>
                </a:ext>
              </a:extLst>
            </xdr:cNvPr>
            <xdr:cNvCxnSpPr/>
          </xdr:nvCxnSpPr>
          <xdr:spPr>
            <a:xfrm rot="10800000">
              <a:off x="10898000" y="7778168"/>
              <a:ext cx="201776"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181" name="Straight Connector 1180">
              <a:extLst>
                <a:ext uri="{FF2B5EF4-FFF2-40B4-BE49-F238E27FC236}">
                  <a16:creationId xmlns:a16="http://schemas.microsoft.com/office/drawing/2014/main" id="{00000000-0008-0000-0300-00009D040000}"/>
                </a:ext>
              </a:extLst>
            </xdr:cNvPr>
            <xdr:cNvCxnSpPr/>
          </xdr:nvCxnSpPr>
          <xdr:spPr>
            <a:xfrm flipV="1">
              <a:off x="11097158" y="7643951"/>
              <a:ext cx="1369" cy="13799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1095" name="Group 1094">
            <a:extLst>
              <a:ext uri="{FF2B5EF4-FFF2-40B4-BE49-F238E27FC236}">
                <a16:creationId xmlns:a16="http://schemas.microsoft.com/office/drawing/2014/main" id="{375E2185-6743-E7A5-DD7C-671CEBF2E4C5}"/>
              </a:ext>
            </a:extLst>
          </xdr:cNvPr>
          <xdr:cNvGrpSpPr/>
        </xdr:nvGrpSpPr>
        <xdr:grpSpPr>
          <a:xfrm>
            <a:off x="7518309" y="7586415"/>
            <a:ext cx="2256747" cy="397811"/>
            <a:chOff x="7451353" y="7884390"/>
            <a:chExt cx="2244128" cy="401422"/>
          </a:xfrm>
        </xdr:grpSpPr>
        <xdr:sp macro="" textlink="">
          <xdr:nvSpPr>
            <xdr:cNvPr id="1136" name="Rounded Rectangle 1135">
              <a:extLst>
                <a:ext uri="{FF2B5EF4-FFF2-40B4-BE49-F238E27FC236}">
                  <a16:creationId xmlns:a16="http://schemas.microsoft.com/office/drawing/2014/main" id="{00000000-0008-0000-0300-000070040000}"/>
                </a:ext>
              </a:extLst>
            </xdr:cNvPr>
            <xdr:cNvSpPr/>
          </xdr:nvSpPr>
          <xdr:spPr>
            <a:xfrm>
              <a:off x="7451353" y="7972368"/>
              <a:ext cx="2244128" cy="270586"/>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table!BF5">
          <xdr:nvSpPr>
            <xdr:cNvPr id="1141" name="TextBox 1140">
              <a:extLst>
                <a:ext uri="{FF2B5EF4-FFF2-40B4-BE49-F238E27FC236}">
                  <a16:creationId xmlns:a16="http://schemas.microsoft.com/office/drawing/2014/main" id="{00000000-0008-0000-0300-000075040000}"/>
                </a:ext>
              </a:extLst>
            </xdr:cNvPr>
            <xdr:cNvSpPr txBox="1"/>
          </xdr:nvSpPr>
          <xdr:spPr>
            <a:xfrm>
              <a:off x="8042576" y="7987384"/>
              <a:ext cx="1629719" cy="238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124C05C-12C5-4840-8E5F-59CA3AF1DBB5}" type="TxLink">
                <a:rPr lang="en-US" sz="1100" b="0" i="0" u="none" strike="noStrike" baseline="0">
                  <a:solidFill>
                    <a:schemeClr val="tx1">
                      <a:lumMod val="95000"/>
                      <a:lumOff val="5000"/>
                    </a:schemeClr>
                  </a:solidFill>
                  <a:latin typeface="Times New Roman"/>
                  <a:ea typeface="Baskerville" panose="02020502070401020303" pitchFamily="18" charset="0"/>
                  <a:cs typeface="Times New Roman"/>
                </a:rPr>
                <a:pPr algn="l"/>
                <a:t>Shipment Cost Sub-Items</a:t>
              </a:fld>
              <a:endParaRPr lang="en-US" sz="105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BF6">
          <xdr:nvSpPr>
            <xdr:cNvPr id="1081" name="TextBox 1080">
              <a:extLst>
                <a:ext uri="{FF2B5EF4-FFF2-40B4-BE49-F238E27FC236}">
                  <a16:creationId xmlns:a16="http://schemas.microsoft.com/office/drawing/2014/main" id="{00000000-0008-0000-0300-000039040000}"/>
                </a:ext>
              </a:extLst>
            </xdr:cNvPr>
            <xdr:cNvSpPr txBox="1"/>
          </xdr:nvSpPr>
          <xdr:spPr>
            <a:xfrm>
              <a:off x="7498496" y="7986421"/>
              <a:ext cx="774233" cy="299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71CEC9-4715-1346-B25E-1E5741B03CDB}" type="TxLink">
                <a:rPr lang="en-US" sz="1100" b="1" i="0" u="none" strike="noStrike">
                  <a:solidFill>
                    <a:schemeClr val="tx1">
                      <a:lumMod val="95000"/>
                      <a:lumOff val="5000"/>
                    </a:schemeClr>
                  </a:solidFill>
                  <a:latin typeface="Baskerville"/>
                  <a:ea typeface="Baskerville"/>
                  <a:cs typeface="Arial"/>
                </a:rPr>
                <a:pPr algn="l"/>
                <a:t>$71,808</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186" name="Oval 1185">
              <a:extLst>
                <a:ext uri="{FF2B5EF4-FFF2-40B4-BE49-F238E27FC236}">
                  <a16:creationId xmlns:a16="http://schemas.microsoft.com/office/drawing/2014/main" id="{00000000-0008-0000-0300-0000A2040000}"/>
                </a:ext>
              </a:extLst>
            </xdr:cNvPr>
            <xdr:cNvSpPr/>
          </xdr:nvSpPr>
          <xdr:spPr>
            <a:xfrm>
              <a:off x="7780636" y="7884390"/>
              <a:ext cx="163184" cy="160751"/>
            </a:xfrm>
            <a:prstGeom prst="ellipse">
              <a:avLst/>
            </a:prstGeom>
            <a:solidFill>
              <a:schemeClr val="accent1">
                <a:lumMod val="7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8" name="Half Frame 1197">
              <a:extLst>
                <a:ext uri="{FF2B5EF4-FFF2-40B4-BE49-F238E27FC236}">
                  <a16:creationId xmlns:a16="http://schemas.microsoft.com/office/drawing/2014/main" id="{00000000-0008-0000-0300-0000AE040000}"/>
                </a:ext>
              </a:extLst>
            </xdr:cNvPr>
            <xdr:cNvSpPr/>
          </xdr:nvSpPr>
          <xdr:spPr>
            <a:xfrm rot="13489028">
              <a:off x="7816181" y="7897454"/>
              <a:ext cx="93184" cy="90179"/>
            </a:xfrm>
            <a:prstGeom prst="halfFrame">
              <a:avLst/>
            </a:prstGeom>
            <a:solidFill>
              <a:schemeClr val="bg1"/>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nvGrpSpPr>
          <xdr:cNvPr id="1103" name="Group 1102">
            <a:extLst>
              <a:ext uri="{FF2B5EF4-FFF2-40B4-BE49-F238E27FC236}">
                <a16:creationId xmlns:a16="http://schemas.microsoft.com/office/drawing/2014/main" id="{2CDC3939-0BC5-458C-0CE2-7505382A5C3B}"/>
              </a:ext>
            </a:extLst>
          </xdr:cNvPr>
          <xdr:cNvGrpSpPr/>
        </xdr:nvGrpSpPr>
        <xdr:grpSpPr>
          <a:xfrm>
            <a:off x="8286868" y="8339598"/>
            <a:ext cx="1547218" cy="314624"/>
            <a:chOff x="8162856" y="8772394"/>
            <a:chExt cx="1546221" cy="330561"/>
          </a:xfrm>
        </xdr:grpSpPr>
        <xdr:sp macro="" textlink="">
          <xdr:nvSpPr>
            <xdr:cNvPr id="1132" name="Rounded Rectangle 1131">
              <a:extLst>
                <a:ext uri="{FF2B5EF4-FFF2-40B4-BE49-F238E27FC236}">
                  <a16:creationId xmlns:a16="http://schemas.microsoft.com/office/drawing/2014/main" id="{00000000-0008-0000-0300-00006C040000}"/>
                </a:ext>
              </a:extLst>
            </xdr:cNvPr>
            <xdr:cNvSpPr/>
          </xdr:nvSpPr>
          <xdr:spPr>
            <a:xfrm>
              <a:off x="8240335" y="8772394"/>
              <a:ext cx="1409409" cy="278896"/>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table!BG6">
          <xdr:nvSpPr>
            <xdr:cNvPr id="1082" name="TextBox 1081">
              <a:extLst>
                <a:ext uri="{FF2B5EF4-FFF2-40B4-BE49-F238E27FC236}">
                  <a16:creationId xmlns:a16="http://schemas.microsoft.com/office/drawing/2014/main" id="{00000000-0008-0000-0300-00003A040000}"/>
                </a:ext>
              </a:extLst>
            </xdr:cNvPr>
            <xdr:cNvSpPr txBox="1"/>
          </xdr:nvSpPr>
          <xdr:spPr>
            <a:xfrm>
              <a:off x="8299005" y="8791845"/>
              <a:ext cx="785544" cy="311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12DB43D-C131-B542-821D-2735F9C180BA}" type="TxLink">
                <a:rPr lang="en-US" sz="1100" b="1" i="0" u="none" strike="noStrike">
                  <a:solidFill>
                    <a:schemeClr val="tx1">
                      <a:lumMod val="95000"/>
                      <a:lumOff val="5000"/>
                    </a:schemeClr>
                  </a:solidFill>
                  <a:latin typeface="Baskerville"/>
                  <a:ea typeface="Baskerville"/>
                  <a:cs typeface="Arial"/>
                </a:rPr>
                <a:pPr algn="l"/>
                <a:t>$61,036</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BG5">
          <xdr:nvSpPr>
            <xdr:cNvPr id="1142" name="TextBox 1141">
              <a:extLst>
                <a:ext uri="{FF2B5EF4-FFF2-40B4-BE49-F238E27FC236}">
                  <a16:creationId xmlns:a16="http://schemas.microsoft.com/office/drawing/2014/main" id="{00000000-0008-0000-0300-000076040000}"/>
                </a:ext>
              </a:extLst>
            </xdr:cNvPr>
            <xdr:cNvSpPr txBox="1"/>
          </xdr:nvSpPr>
          <xdr:spPr>
            <a:xfrm>
              <a:off x="8885373" y="8788178"/>
              <a:ext cx="823704" cy="245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C5BBCF0-ECCE-6C43-9356-01D03A958106}" type="TxLink">
                <a:rPr lang="en-US" sz="1100" b="0" i="0" u="none" strike="noStrike" baseline="0">
                  <a:solidFill>
                    <a:schemeClr val="tx1">
                      <a:lumMod val="95000"/>
                      <a:lumOff val="5000"/>
                    </a:schemeClr>
                  </a:solidFill>
                  <a:latin typeface="Times New Roman"/>
                  <a:ea typeface="Baskerville" panose="02020502070401020303" pitchFamily="18" charset="0"/>
                  <a:cs typeface="Times New Roman"/>
                </a:rPr>
                <a:pPr marL="0" indent="0" algn="l"/>
                <a:t>ERE Stage</a:t>
              </a:fld>
              <a:endParaRPr lang="en-US" sz="1100" b="0" i="0" u="none" strike="noStrike" baseline="0">
                <a:solidFill>
                  <a:schemeClr val="tx1">
                    <a:lumMod val="95000"/>
                    <a:lumOff val="5000"/>
                  </a:schemeClr>
                </a:solidFill>
                <a:latin typeface="Times New Roman"/>
                <a:ea typeface="Baskerville" panose="02020502070401020303" pitchFamily="18" charset="0"/>
                <a:cs typeface="Times New Roman"/>
              </a:endParaRPr>
            </a:p>
          </xdr:txBody>
        </xdr:sp>
        <xdr:sp macro="" textlink="">
          <xdr:nvSpPr>
            <xdr:cNvPr id="1201" name="Oval 1200">
              <a:extLst>
                <a:ext uri="{FF2B5EF4-FFF2-40B4-BE49-F238E27FC236}">
                  <a16:creationId xmlns:a16="http://schemas.microsoft.com/office/drawing/2014/main" id="{00000000-0008-0000-0300-0000B1040000}"/>
                </a:ext>
              </a:extLst>
            </xdr:cNvPr>
            <xdr:cNvSpPr/>
          </xdr:nvSpPr>
          <xdr:spPr>
            <a:xfrm rot="16200000">
              <a:off x="8161278" y="8847078"/>
              <a:ext cx="164739" cy="161584"/>
            </a:xfrm>
            <a:prstGeom prst="ellipse">
              <a:avLst/>
            </a:prstGeom>
            <a:solidFill>
              <a:schemeClr val="accent1">
                <a:lumMod val="7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02" name="Half Frame 1201">
              <a:extLst>
                <a:ext uri="{FF2B5EF4-FFF2-40B4-BE49-F238E27FC236}">
                  <a16:creationId xmlns:a16="http://schemas.microsoft.com/office/drawing/2014/main" id="{00000000-0008-0000-0300-0000B2040000}"/>
                </a:ext>
              </a:extLst>
            </xdr:cNvPr>
            <xdr:cNvSpPr/>
          </xdr:nvSpPr>
          <xdr:spPr>
            <a:xfrm rot="8089028">
              <a:off x="8175565" y="8881183"/>
              <a:ext cx="92964" cy="92261"/>
            </a:xfrm>
            <a:prstGeom prst="halfFrame">
              <a:avLst/>
            </a:prstGeom>
            <a:solidFill>
              <a:schemeClr val="bg1"/>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nvGrpSpPr>
          <xdr:cNvPr id="1098" name="Group 1097">
            <a:extLst>
              <a:ext uri="{FF2B5EF4-FFF2-40B4-BE49-F238E27FC236}">
                <a16:creationId xmlns:a16="http://schemas.microsoft.com/office/drawing/2014/main" id="{A910500F-303F-C3B8-0FE5-0721C135B94C}"/>
              </a:ext>
            </a:extLst>
          </xdr:cNvPr>
          <xdr:cNvGrpSpPr/>
        </xdr:nvGrpSpPr>
        <xdr:grpSpPr>
          <a:xfrm>
            <a:off x="10081549" y="8339298"/>
            <a:ext cx="1687876" cy="267948"/>
            <a:chOff x="9859090" y="8719554"/>
            <a:chExt cx="1675222" cy="272227"/>
          </a:xfrm>
        </xdr:grpSpPr>
        <xdr:sp macro="" textlink="">
          <xdr:nvSpPr>
            <xdr:cNvPr id="1133" name="Rounded Rectangle 1132">
              <a:extLst>
                <a:ext uri="{FF2B5EF4-FFF2-40B4-BE49-F238E27FC236}">
                  <a16:creationId xmlns:a16="http://schemas.microsoft.com/office/drawing/2014/main" id="{00000000-0008-0000-0300-00006D040000}"/>
                </a:ext>
              </a:extLst>
            </xdr:cNvPr>
            <xdr:cNvSpPr/>
          </xdr:nvSpPr>
          <xdr:spPr>
            <a:xfrm>
              <a:off x="9944837" y="8719554"/>
              <a:ext cx="1572614" cy="272227"/>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table!BH6">
          <xdr:nvSpPr>
            <xdr:cNvPr id="1083" name="TextBox 1082">
              <a:extLst>
                <a:ext uri="{FF2B5EF4-FFF2-40B4-BE49-F238E27FC236}">
                  <a16:creationId xmlns:a16="http://schemas.microsoft.com/office/drawing/2014/main" id="{00000000-0008-0000-0300-00003B040000}"/>
                </a:ext>
              </a:extLst>
            </xdr:cNvPr>
            <xdr:cNvSpPr txBox="1"/>
          </xdr:nvSpPr>
          <xdr:spPr>
            <a:xfrm>
              <a:off x="10017690" y="8740090"/>
              <a:ext cx="874630" cy="21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97B57D6-E141-654C-97A7-9F0B2CBBBC22}" type="TxLink">
                <a:rPr lang="en-US" sz="1100" b="1" i="0" u="none" strike="noStrike">
                  <a:solidFill>
                    <a:schemeClr val="tx1">
                      <a:lumMod val="95000"/>
                      <a:lumOff val="5000"/>
                    </a:schemeClr>
                  </a:solidFill>
                  <a:latin typeface="Baskerville"/>
                  <a:ea typeface="Baskerville"/>
                  <a:cs typeface="Arial"/>
                </a:rPr>
                <a:pPr algn="l"/>
                <a:t>$89,760</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BH5">
          <xdr:nvSpPr>
            <xdr:cNvPr id="1143" name="TextBox 1142">
              <a:extLst>
                <a:ext uri="{FF2B5EF4-FFF2-40B4-BE49-F238E27FC236}">
                  <a16:creationId xmlns:a16="http://schemas.microsoft.com/office/drawing/2014/main" id="{00000000-0008-0000-0300-000077040000}"/>
                </a:ext>
              </a:extLst>
            </xdr:cNvPr>
            <xdr:cNvSpPr txBox="1"/>
          </xdr:nvSpPr>
          <xdr:spPr>
            <a:xfrm>
              <a:off x="10571739" y="8750721"/>
              <a:ext cx="962573" cy="238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56864AF-F157-EA4F-A068-05212CA5F777}" type="TxLink">
                <a:rPr lang="en-US" sz="1100" b="0" i="0" u="none" strike="noStrike" baseline="0">
                  <a:solidFill>
                    <a:schemeClr val="tx1">
                      <a:lumMod val="95000"/>
                      <a:lumOff val="5000"/>
                    </a:schemeClr>
                  </a:solidFill>
                  <a:latin typeface="Times New Roman"/>
                  <a:ea typeface="Baskerville" panose="02020502070401020303" pitchFamily="18" charset="0"/>
                  <a:cs typeface="Times New Roman"/>
                </a:rPr>
                <a:pPr marL="0" indent="0" algn="l"/>
                <a:t>Basic Freight</a:t>
              </a:fld>
              <a:endParaRPr lang="en-US" sz="1100" b="0" i="0" u="none" strike="noStrike" baseline="0">
                <a:solidFill>
                  <a:schemeClr val="tx1">
                    <a:lumMod val="95000"/>
                    <a:lumOff val="5000"/>
                  </a:schemeClr>
                </a:solidFill>
                <a:latin typeface="Times New Roman"/>
                <a:ea typeface="Baskerville" panose="02020502070401020303" pitchFamily="18" charset="0"/>
                <a:cs typeface="Times New Roman"/>
              </a:endParaRPr>
            </a:p>
          </xdr:txBody>
        </xdr:sp>
        <xdr:sp macro="" textlink="">
          <xdr:nvSpPr>
            <xdr:cNvPr id="1204" name="Oval 1203">
              <a:extLst>
                <a:ext uri="{FF2B5EF4-FFF2-40B4-BE49-F238E27FC236}">
                  <a16:creationId xmlns:a16="http://schemas.microsoft.com/office/drawing/2014/main" id="{00000000-0008-0000-0300-0000B4040000}"/>
                </a:ext>
              </a:extLst>
            </xdr:cNvPr>
            <xdr:cNvSpPr/>
          </xdr:nvSpPr>
          <xdr:spPr>
            <a:xfrm rot="16200000">
              <a:off x="9859519" y="8788296"/>
              <a:ext cx="159893" cy="160751"/>
            </a:xfrm>
            <a:prstGeom prst="ellipse">
              <a:avLst/>
            </a:prstGeom>
            <a:solidFill>
              <a:schemeClr val="accent1">
                <a:lumMod val="7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05" name="Half Frame 1204">
              <a:extLst>
                <a:ext uri="{FF2B5EF4-FFF2-40B4-BE49-F238E27FC236}">
                  <a16:creationId xmlns:a16="http://schemas.microsoft.com/office/drawing/2014/main" id="{00000000-0008-0000-0300-0000B5040000}"/>
                </a:ext>
              </a:extLst>
            </xdr:cNvPr>
            <xdr:cNvSpPr/>
          </xdr:nvSpPr>
          <xdr:spPr>
            <a:xfrm rot="8089028">
              <a:off x="9872652" y="8822437"/>
              <a:ext cx="89819" cy="91381"/>
            </a:xfrm>
            <a:prstGeom prst="halfFrame">
              <a:avLst/>
            </a:prstGeom>
            <a:solidFill>
              <a:schemeClr val="bg1"/>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nvGrpSpPr>
          <xdr:cNvPr id="1106" name="Group 1105">
            <a:extLst>
              <a:ext uri="{FF2B5EF4-FFF2-40B4-BE49-F238E27FC236}">
                <a16:creationId xmlns:a16="http://schemas.microsoft.com/office/drawing/2014/main" id="{BFC2A460-D702-5180-10AE-243B925C7FF5}"/>
              </a:ext>
            </a:extLst>
          </xdr:cNvPr>
          <xdr:cNvGrpSpPr/>
        </xdr:nvGrpSpPr>
        <xdr:grpSpPr>
          <a:xfrm>
            <a:off x="11478290" y="6943316"/>
            <a:ext cx="1542095" cy="895995"/>
            <a:chOff x="11244960" y="7183335"/>
            <a:chExt cx="1536792" cy="913773"/>
          </a:xfrm>
        </xdr:grpSpPr>
        <xdr:sp macro="" textlink="Pivottable!BI6">
          <xdr:nvSpPr>
            <xdr:cNvPr id="1084" name="TextBox 1083">
              <a:extLst>
                <a:ext uri="{FF2B5EF4-FFF2-40B4-BE49-F238E27FC236}">
                  <a16:creationId xmlns:a16="http://schemas.microsoft.com/office/drawing/2014/main" id="{00000000-0008-0000-0300-00003C040000}"/>
                </a:ext>
              </a:extLst>
            </xdr:cNvPr>
            <xdr:cNvSpPr txBox="1"/>
          </xdr:nvSpPr>
          <xdr:spPr>
            <a:xfrm>
              <a:off x="11593153" y="7183335"/>
              <a:ext cx="775501" cy="294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973068B-5604-1E46-B8B1-B3B6F25E0FC9}" type="TxLink">
                <a:rPr lang="en-US" sz="1100" b="1" i="0" u="none" strike="noStrike">
                  <a:solidFill>
                    <a:schemeClr val="tx1">
                      <a:lumMod val="95000"/>
                      <a:lumOff val="5000"/>
                    </a:schemeClr>
                  </a:solidFill>
                  <a:latin typeface="Baskerville"/>
                  <a:ea typeface="Baskerville"/>
                  <a:cs typeface="Arial"/>
                </a:rPr>
                <a:pPr algn="l"/>
                <a:t>$107,711</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207" name="Oval 1206">
              <a:extLst>
                <a:ext uri="{FF2B5EF4-FFF2-40B4-BE49-F238E27FC236}">
                  <a16:creationId xmlns:a16="http://schemas.microsoft.com/office/drawing/2014/main" id="{00000000-0008-0000-0300-0000B7040000}"/>
                </a:ext>
              </a:extLst>
            </xdr:cNvPr>
            <xdr:cNvSpPr/>
          </xdr:nvSpPr>
          <xdr:spPr>
            <a:xfrm rot="10800000">
              <a:off x="11929235" y="7925798"/>
              <a:ext cx="169166" cy="171310"/>
            </a:xfrm>
            <a:prstGeom prst="ellipse">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08" name="Half Frame 1207">
              <a:extLst>
                <a:ext uri="{FF2B5EF4-FFF2-40B4-BE49-F238E27FC236}">
                  <a16:creationId xmlns:a16="http://schemas.microsoft.com/office/drawing/2014/main" id="{00000000-0008-0000-0300-0000B8040000}"/>
                </a:ext>
              </a:extLst>
            </xdr:cNvPr>
            <xdr:cNvSpPr/>
          </xdr:nvSpPr>
          <xdr:spPr>
            <a:xfrm rot="2689028">
              <a:off x="11966017" y="7992242"/>
              <a:ext cx="96600" cy="93126"/>
            </a:xfrm>
            <a:prstGeom prst="halfFrame">
              <a:avLst/>
            </a:prstGeom>
            <a:solidFill>
              <a:schemeClr val="bg1"/>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9" name="TextBox 18">
              <a:extLst>
                <a:ext uri="{FF2B5EF4-FFF2-40B4-BE49-F238E27FC236}">
                  <a16:creationId xmlns:a16="http://schemas.microsoft.com/office/drawing/2014/main" id="{C2B33A0D-94E8-E444-8DED-B2204628D26C}"/>
                </a:ext>
              </a:extLst>
            </xdr:cNvPr>
            <xdr:cNvSpPr txBox="1"/>
          </xdr:nvSpPr>
          <xdr:spPr>
            <a:xfrm>
              <a:off x="11443385" y="7364848"/>
              <a:ext cx="1109031" cy="234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Final Amount</a:t>
              </a:r>
              <a:endParaRPr lang="en-US" sz="1100" b="1"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71" name="TextBox 70">
              <a:extLst>
                <a:ext uri="{FF2B5EF4-FFF2-40B4-BE49-F238E27FC236}">
                  <a16:creationId xmlns:a16="http://schemas.microsoft.com/office/drawing/2014/main" id="{ECB8F041-3190-A64A-A838-11B57212ACA3}"/>
                </a:ext>
              </a:extLst>
            </xdr:cNvPr>
            <xdr:cNvSpPr txBox="1"/>
          </xdr:nvSpPr>
          <xdr:spPr>
            <a:xfrm>
              <a:off x="11244960" y="7573078"/>
              <a:ext cx="1536792" cy="395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Calculated</a:t>
              </a:r>
              <a:r>
                <a:rPr lang="en-US" sz="9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 is copied to the shipment cost sub-items  </a:t>
              </a:r>
              <a:endParaRPr lang="en-US" sz="9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sp macro="" textlink="">
        <xdr:nvSpPr>
          <xdr:cNvPr id="1062" name="TextBox 1061">
            <a:extLst>
              <a:ext uri="{FF2B5EF4-FFF2-40B4-BE49-F238E27FC236}">
                <a16:creationId xmlns:a16="http://schemas.microsoft.com/office/drawing/2014/main" id="{95BA3923-2EC0-1244-B4C6-F537451A5D72}"/>
              </a:ext>
            </a:extLst>
          </xdr:cNvPr>
          <xdr:cNvSpPr txBox="1"/>
        </xdr:nvSpPr>
        <xdr:spPr>
          <a:xfrm>
            <a:off x="10912218" y="6047708"/>
            <a:ext cx="1988389" cy="337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latin typeface="Times New Roman" panose="02020603050405020304" pitchFamily="18" charset="0"/>
                <a:cs typeface="Times New Roman" panose="02020603050405020304" pitchFamily="18" charset="0"/>
              </a:rPr>
              <a:t>Shipment Cost Settlement</a:t>
            </a:r>
          </a:p>
        </xdr:txBody>
      </xdr:sp>
      <xdr:sp macro="" textlink="">
        <xdr:nvSpPr>
          <xdr:cNvPr id="1063" name="TextBox 1062">
            <a:extLst>
              <a:ext uri="{FF2B5EF4-FFF2-40B4-BE49-F238E27FC236}">
                <a16:creationId xmlns:a16="http://schemas.microsoft.com/office/drawing/2014/main" id="{76666068-13D6-BC48-8596-F17495D7EC18}"/>
              </a:ext>
            </a:extLst>
          </xdr:cNvPr>
          <xdr:cNvSpPr txBox="1"/>
        </xdr:nvSpPr>
        <xdr:spPr>
          <a:xfrm>
            <a:off x="981098" y="6117080"/>
            <a:ext cx="1085562" cy="314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Drivers</a:t>
            </a:r>
          </a:p>
        </xdr:txBody>
      </xdr:sp>
      <xdr:sp macro="" textlink="">
        <xdr:nvSpPr>
          <xdr:cNvPr id="1065" name="TextBox 1064">
            <a:extLst>
              <a:ext uri="{FF2B5EF4-FFF2-40B4-BE49-F238E27FC236}">
                <a16:creationId xmlns:a16="http://schemas.microsoft.com/office/drawing/2014/main" id="{AAF06E8E-462E-0442-805B-2D0E2DACFCC2}"/>
              </a:ext>
            </a:extLst>
          </xdr:cNvPr>
          <xdr:cNvSpPr txBox="1"/>
        </xdr:nvSpPr>
        <xdr:spPr>
          <a:xfrm>
            <a:off x="13486966" y="6677230"/>
            <a:ext cx="701655" cy="28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Load</a:t>
            </a:r>
          </a:p>
        </xdr:txBody>
      </xdr:sp>
      <xdr:grpSp>
        <xdr:nvGrpSpPr>
          <xdr:cNvPr id="1075" name="Group 1074">
            <a:extLst>
              <a:ext uri="{FF2B5EF4-FFF2-40B4-BE49-F238E27FC236}">
                <a16:creationId xmlns:a16="http://schemas.microsoft.com/office/drawing/2014/main" id="{9813AC02-B6F1-0AD4-063A-8A946270B724}"/>
              </a:ext>
            </a:extLst>
          </xdr:cNvPr>
          <xdr:cNvGrpSpPr/>
        </xdr:nvGrpSpPr>
        <xdr:grpSpPr>
          <a:xfrm>
            <a:off x="13596353" y="7173229"/>
            <a:ext cx="2564819" cy="384001"/>
            <a:chOff x="13335580" y="7257896"/>
            <a:chExt cx="2544499" cy="397547"/>
          </a:xfrm>
        </xdr:grpSpPr>
        <xdr:sp macro="" textlink="Pivottable!AY5">
          <xdr:nvSpPr>
            <xdr:cNvPr id="1070" name="TextBox 1069">
              <a:extLst>
                <a:ext uri="{FF2B5EF4-FFF2-40B4-BE49-F238E27FC236}">
                  <a16:creationId xmlns:a16="http://schemas.microsoft.com/office/drawing/2014/main" id="{65CDBC5B-EC80-0146-91EE-5ADD034A65ED}"/>
                </a:ext>
              </a:extLst>
            </xdr:cNvPr>
            <xdr:cNvSpPr txBox="1"/>
          </xdr:nvSpPr>
          <xdr:spPr>
            <a:xfrm>
              <a:off x="14045307" y="7257896"/>
              <a:ext cx="894276" cy="331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1"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Tone</a:t>
              </a:r>
            </a:p>
          </xdr:txBody>
        </xdr:sp>
        <xdr:sp macro="" textlink="Pivottable!BQ6">
          <xdr:nvSpPr>
            <xdr:cNvPr id="1071" name="TextBox 1070">
              <a:extLst>
                <a:ext uri="{FF2B5EF4-FFF2-40B4-BE49-F238E27FC236}">
                  <a16:creationId xmlns:a16="http://schemas.microsoft.com/office/drawing/2014/main" id="{7B8C4864-1434-1C45-AE8B-8817905B3AFF}"/>
                </a:ext>
              </a:extLst>
            </xdr:cNvPr>
            <xdr:cNvSpPr txBox="1"/>
          </xdr:nvSpPr>
          <xdr:spPr>
            <a:xfrm>
              <a:off x="13335580" y="7257896"/>
              <a:ext cx="888420" cy="397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06F30D1-8882-7843-93C0-897ACA12C5A8}" type="TxLink">
                <a:rPr lang="en-US" sz="1600" b="1" i="0" u="none" strike="noStrike">
                  <a:solidFill>
                    <a:schemeClr val="tx2">
                      <a:lumMod val="50000"/>
                    </a:schemeClr>
                  </a:solidFill>
                  <a:latin typeface="Baskerville"/>
                  <a:ea typeface="Baskerville"/>
                  <a:cs typeface="Arial"/>
                </a:rPr>
                <a:t>$1,048</a:t>
              </a:fld>
              <a:endParaRPr lang="en-US" sz="28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
          <xdr:nvSpPr>
            <xdr:cNvPr id="1072" name="TextBox 1071">
              <a:extLst>
                <a:ext uri="{FF2B5EF4-FFF2-40B4-BE49-F238E27FC236}">
                  <a16:creationId xmlns:a16="http://schemas.microsoft.com/office/drawing/2014/main" id="{0423CEA0-2848-0C4B-8B12-BEC619EFE887}"/>
                </a:ext>
              </a:extLst>
            </xdr:cNvPr>
            <xdr:cNvSpPr txBox="1"/>
          </xdr:nvSpPr>
          <xdr:spPr>
            <a:xfrm>
              <a:off x="14633391" y="7265615"/>
              <a:ext cx="244183" cy="334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a:t>
              </a:r>
            </a:p>
          </xdr:txBody>
        </xdr:sp>
        <xdr:sp macro="" textlink="">
          <xdr:nvSpPr>
            <xdr:cNvPr id="1073" name="TextBox 1072">
              <a:extLst>
                <a:ext uri="{FF2B5EF4-FFF2-40B4-BE49-F238E27FC236}">
                  <a16:creationId xmlns:a16="http://schemas.microsoft.com/office/drawing/2014/main" id="{2D59BE8B-BB8C-C540-84C5-E181C581AF51}"/>
                </a:ext>
              </a:extLst>
            </xdr:cNvPr>
            <xdr:cNvSpPr txBox="1"/>
          </xdr:nvSpPr>
          <xdr:spPr>
            <a:xfrm>
              <a:off x="15180970" y="7292475"/>
              <a:ext cx="699109" cy="326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Freight</a:t>
              </a:r>
              <a:endPar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P6">
          <xdr:nvSpPr>
            <xdr:cNvPr id="1074" name="TextBox 1073">
              <a:extLst>
                <a:ext uri="{FF2B5EF4-FFF2-40B4-BE49-F238E27FC236}">
                  <a16:creationId xmlns:a16="http://schemas.microsoft.com/office/drawing/2014/main" id="{490302FC-A7A3-1944-8B0E-8F08FD71793E}"/>
                </a:ext>
              </a:extLst>
            </xdr:cNvPr>
            <xdr:cNvSpPr txBox="1"/>
          </xdr:nvSpPr>
          <xdr:spPr>
            <a:xfrm>
              <a:off x="14893258" y="7290487"/>
              <a:ext cx="387382" cy="268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364AB6F-40A3-EF46-9E05-AD842815D4C2}" type="TxLink">
                <a:rPr lang="en-US" sz="1400" b="0" i="0" u="none" strike="noStrike">
                  <a:solidFill>
                    <a:srgbClr val="000000"/>
                  </a:solidFill>
                  <a:latin typeface="Baskerville"/>
                  <a:ea typeface="Baskerville"/>
                  <a:cs typeface="Arial"/>
                </a:rPr>
                <a:t>61</a:t>
              </a:fld>
              <a:endParaRPr lang="en-US" sz="1600" b="0" i="0" u="none" strike="noStrike">
                <a:solidFill>
                  <a:schemeClr val="tx2">
                    <a:lumMod val="50000"/>
                  </a:schemeClr>
                </a:solidFill>
                <a:latin typeface="Baskerville"/>
                <a:ea typeface="Baskerville"/>
                <a:cs typeface="Arial"/>
              </a:endParaRPr>
            </a:p>
          </xdr:txBody>
        </xdr:sp>
      </xdr:grpSp>
      <xdr:sp macro="" textlink="Pivottable!BL5">
        <xdr:nvSpPr>
          <xdr:cNvPr id="1076" name="TextBox 1075">
            <a:extLst>
              <a:ext uri="{FF2B5EF4-FFF2-40B4-BE49-F238E27FC236}">
                <a16:creationId xmlns:a16="http://schemas.microsoft.com/office/drawing/2014/main" id="{F544D1A2-D287-FC4A-BB32-45FF053A48AB}"/>
              </a:ext>
            </a:extLst>
          </xdr:cNvPr>
          <xdr:cNvSpPr txBox="1"/>
        </xdr:nvSpPr>
        <xdr:spPr>
          <a:xfrm>
            <a:off x="13535414" y="7666862"/>
            <a:ext cx="1035274" cy="277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4FEA6C7-6223-E146-8F0C-5A5D4986A7A4}" type="TxLink">
              <a:rPr lang="en-US" sz="1200" b="0" i="0" u="none" strike="noStrike">
                <a:solidFill>
                  <a:srgbClr val="262626"/>
                </a:solidFill>
                <a:latin typeface="Times New Roman"/>
                <a:ea typeface="Baskerville" panose="02020502070401020303" pitchFamily="18" charset="0"/>
                <a:cs typeface="Times New Roman"/>
              </a:rPr>
              <a:t>Iron</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L7">
        <xdr:nvSpPr>
          <xdr:cNvPr id="1077" name="TextBox 1076">
            <a:extLst>
              <a:ext uri="{FF2B5EF4-FFF2-40B4-BE49-F238E27FC236}">
                <a16:creationId xmlns:a16="http://schemas.microsoft.com/office/drawing/2014/main" id="{496B0223-D82D-1B4F-9EC8-36CFD6D48920}"/>
              </a:ext>
            </a:extLst>
          </xdr:cNvPr>
          <xdr:cNvSpPr txBox="1"/>
        </xdr:nvSpPr>
        <xdr:spPr>
          <a:xfrm>
            <a:off x="15418243" y="7643526"/>
            <a:ext cx="1038696" cy="277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93F5A1A-BD3B-9D4F-B970-9AAEB988229D}" type="TxLink">
              <a:rPr lang="en-US" sz="1400" b="1" i="0" u="none" strike="noStrike">
                <a:solidFill>
                  <a:srgbClr val="000000"/>
                </a:solidFill>
                <a:latin typeface="Baskerville"/>
                <a:ea typeface="Baskerville"/>
                <a:cs typeface="Times New Roman" panose="02020603050405020304" pitchFamily="18" charset="0"/>
              </a:rPr>
              <a:pPr marL="0" indent="0" algn="l"/>
              <a:t>$235.80</a:t>
            </a:fld>
            <a:endParaRPr lang="en-US" sz="1400" b="1" i="0" u="none" strike="noStrike">
              <a:solidFill>
                <a:srgbClr val="000000"/>
              </a:solidFill>
              <a:latin typeface="Baskerville"/>
              <a:ea typeface="Baskerville"/>
              <a:cs typeface="Times New Roman" panose="02020603050405020304" pitchFamily="18" charset="0"/>
            </a:endParaRPr>
          </a:p>
        </xdr:txBody>
      </xdr:sp>
      <xdr:sp macro="" textlink="Pivottable!BM5">
        <xdr:nvSpPr>
          <xdr:cNvPr id="1079" name="TextBox 1078">
            <a:extLst>
              <a:ext uri="{FF2B5EF4-FFF2-40B4-BE49-F238E27FC236}">
                <a16:creationId xmlns:a16="http://schemas.microsoft.com/office/drawing/2014/main" id="{4A7C70B9-7E5A-B645-A143-FB076BF07373}"/>
              </a:ext>
            </a:extLst>
          </xdr:cNvPr>
          <xdr:cNvSpPr txBox="1"/>
        </xdr:nvSpPr>
        <xdr:spPr>
          <a:xfrm>
            <a:off x="13535414" y="7988785"/>
            <a:ext cx="1035274" cy="269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00CEA40-C3E0-EF4C-B673-DCAB554A7BD7}" type="TxLink">
              <a:rPr lang="en-US" sz="1200" b="0" i="0" u="none" strike="noStrike">
                <a:solidFill>
                  <a:srgbClr val="262626"/>
                </a:solidFill>
                <a:latin typeface="Times New Roman"/>
                <a:ea typeface="Baskerville" panose="02020502070401020303" pitchFamily="18" charset="0"/>
                <a:cs typeface="Times New Roman"/>
              </a:rPr>
              <a:t>Sand</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N5">
        <xdr:nvSpPr>
          <xdr:cNvPr id="1086" name="TextBox 1085">
            <a:extLst>
              <a:ext uri="{FF2B5EF4-FFF2-40B4-BE49-F238E27FC236}">
                <a16:creationId xmlns:a16="http://schemas.microsoft.com/office/drawing/2014/main" id="{4E80CCDA-0CDD-8F40-A481-13F1FDEC9C27}"/>
              </a:ext>
            </a:extLst>
          </xdr:cNvPr>
          <xdr:cNvSpPr txBox="1"/>
        </xdr:nvSpPr>
        <xdr:spPr>
          <a:xfrm>
            <a:off x="13522703" y="8280326"/>
            <a:ext cx="1636622" cy="277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AA41D29-C360-A94B-954A-E3E56D43D203}" type="TxLink">
              <a:rPr lang="en-US" sz="1200" b="0" i="0" u="none" strike="noStrike">
                <a:solidFill>
                  <a:srgbClr val="262626"/>
                </a:solidFill>
                <a:latin typeface="Times New Roman"/>
                <a:ea typeface="Baskerville" panose="02020502070401020303" pitchFamily="18" charset="0"/>
                <a:cs typeface="Times New Roman"/>
              </a:rPr>
              <a:t>Wood</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M7">
        <xdr:nvSpPr>
          <xdr:cNvPr id="1087" name="TextBox 1086">
            <a:extLst>
              <a:ext uri="{FF2B5EF4-FFF2-40B4-BE49-F238E27FC236}">
                <a16:creationId xmlns:a16="http://schemas.microsoft.com/office/drawing/2014/main" id="{21EA5AA6-5924-004D-856A-E718E3FDB03E}"/>
              </a:ext>
            </a:extLst>
          </xdr:cNvPr>
          <xdr:cNvSpPr txBox="1"/>
        </xdr:nvSpPr>
        <xdr:spPr>
          <a:xfrm>
            <a:off x="15418243" y="7965449"/>
            <a:ext cx="1038696" cy="269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ECE407F-DACB-4148-9ED0-C62A480FA7E7}" type="TxLink">
              <a:rPr lang="en-US" sz="1400" b="1" i="0" u="none" strike="noStrike">
                <a:solidFill>
                  <a:srgbClr val="000000"/>
                </a:solidFill>
                <a:latin typeface="Baskerville"/>
                <a:ea typeface="Baskerville"/>
                <a:cs typeface="Times New Roman" panose="02020603050405020304" pitchFamily="18" charset="0"/>
              </a:rPr>
              <a:pPr marL="0" indent="0" algn="l"/>
              <a:t>$283.90</a:t>
            </a:fld>
            <a:endParaRPr lang="en-US" sz="1400" b="1" i="0" u="none" strike="noStrike">
              <a:solidFill>
                <a:srgbClr val="000000"/>
              </a:solidFill>
              <a:latin typeface="Baskerville"/>
              <a:ea typeface="Baskerville"/>
              <a:cs typeface="Times New Roman" panose="02020603050405020304" pitchFamily="18" charset="0"/>
            </a:endParaRPr>
          </a:p>
        </xdr:txBody>
      </xdr:sp>
      <xdr:sp macro="" textlink="Pivottable!BN7">
        <xdr:nvSpPr>
          <xdr:cNvPr id="1088" name="TextBox 1087">
            <a:extLst>
              <a:ext uri="{FF2B5EF4-FFF2-40B4-BE49-F238E27FC236}">
                <a16:creationId xmlns:a16="http://schemas.microsoft.com/office/drawing/2014/main" id="{F2C54BB6-BC3D-2346-8EA9-1B7CA201A3DE}"/>
              </a:ext>
            </a:extLst>
          </xdr:cNvPr>
          <xdr:cNvSpPr txBox="1"/>
        </xdr:nvSpPr>
        <xdr:spPr>
          <a:xfrm>
            <a:off x="15418243" y="8271932"/>
            <a:ext cx="1038696" cy="278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4C79E39-5B16-C941-A415-21F7453910C9}" type="TxLink">
              <a:rPr lang="en-US" sz="1400" b="1" i="0" u="none" strike="noStrike">
                <a:solidFill>
                  <a:srgbClr val="000000"/>
                </a:solidFill>
                <a:latin typeface="Baskerville"/>
                <a:ea typeface="Baskerville"/>
                <a:cs typeface="Times New Roman" panose="02020603050405020304" pitchFamily="18" charset="0"/>
              </a:rPr>
              <a:pPr marL="0" indent="0" algn="l"/>
              <a:t>$528.10</a:t>
            </a:fld>
            <a:endParaRPr lang="en-US" sz="1400" b="1" i="0" u="none" strike="noStrike">
              <a:solidFill>
                <a:srgbClr val="000000"/>
              </a:solidFill>
              <a:latin typeface="Baskerville"/>
              <a:ea typeface="Baskerville"/>
              <a:cs typeface="Times New Roman" panose="02020603050405020304" pitchFamily="18" charset="0"/>
            </a:endParaRPr>
          </a:p>
        </xdr:txBody>
      </xdr:sp>
      <xdr:cxnSp macro="">
        <xdr:nvCxnSpPr>
          <xdr:cNvPr id="1089" name="Straight Connector 1088">
            <a:extLst>
              <a:ext uri="{FF2B5EF4-FFF2-40B4-BE49-F238E27FC236}">
                <a16:creationId xmlns:a16="http://schemas.microsoft.com/office/drawing/2014/main" id="{997C10F8-2D50-0646-952A-3D9FF1393A4C}"/>
              </a:ext>
            </a:extLst>
          </xdr:cNvPr>
          <xdr:cNvCxnSpPr/>
        </xdr:nvCxnSpPr>
        <xdr:spPr>
          <a:xfrm flipV="1">
            <a:off x="13580377" y="7925548"/>
            <a:ext cx="2848900"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90" name="Straight Connector 1089">
            <a:extLst>
              <a:ext uri="{FF2B5EF4-FFF2-40B4-BE49-F238E27FC236}">
                <a16:creationId xmlns:a16="http://schemas.microsoft.com/office/drawing/2014/main" id="{864F7567-0F3C-9F4D-B255-1B90F2DEC57F}"/>
              </a:ext>
            </a:extLst>
          </xdr:cNvPr>
          <xdr:cNvCxnSpPr/>
        </xdr:nvCxnSpPr>
        <xdr:spPr>
          <a:xfrm flipV="1">
            <a:off x="13567667" y="8258949"/>
            <a:ext cx="2848900"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48" name="Rectangle 1047">
            <a:extLst>
              <a:ext uri="{FF2B5EF4-FFF2-40B4-BE49-F238E27FC236}">
                <a16:creationId xmlns:a16="http://schemas.microsoft.com/office/drawing/2014/main" id="{00000000-0008-0000-0300-000018040000}"/>
              </a:ext>
            </a:extLst>
          </xdr:cNvPr>
          <xdr:cNvSpPr/>
        </xdr:nvSpPr>
        <xdr:spPr>
          <a:xfrm>
            <a:off x="5464544" y="8801467"/>
            <a:ext cx="1253297" cy="190462"/>
          </a:xfrm>
          <a:custGeom>
            <a:avLst/>
            <a:gdLst>
              <a:gd name="connsiteX0" fmla="*/ 0 w 1144974"/>
              <a:gd name="connsiteY0" fmla="*/ 0 h 250052"/>
              <a:gd name="connsiteX1" fmla="*/ 1144974 w 1144974"/>
              <a:gd name="connsiteY1" fmla="*/ 0 h 250052"/>
              <a:gd name="connsiteX2" fmla="*/ 1144974 w 1144974"/>
              <a:gd name="connsiteY2" fmla="*/ 250052 h 250052"/>
              <a:gd name="connsiteX3" fmla="*/ 0 w 1144974"/>
              <a:gd name="connsiteY3" fmla="*/ 250052 h 250052"/>
              <a:gd name="connsiteX4" fmla="*/ 0 w 1144974"/>
              <a:gd name="connsiteY4" fmla="*/ 0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19890 h 218586"/>
              <a:gd name="connsiteX1" fmla="*/ 1158879 w 1158879"/>
              <a:gd name="connsiteY1" fmla="*/ 0 h 218586"/>
              <a:gd name="connsiteX2" fmla="*/ 1158879 w 1158879"/>
              <a:gd name="connsiteY2" fmla="*/ 218586 h 218586"/>
              <a:gd name="connsiteX3" fmla="*/ 13905 w 1158879"/>
              <a:gd name="connsiteY3" fmla="*/ 218586 h 218586"/>
              <a:gd name="connsiteX4" fmla="*/ 0 w 1158879"/>
              <a:gd name="connsiteY4" fmla="*/ 19890 h 218586"/>
              <a:gd name="connsiteX0" fmla="*/ 0 w 1158879"/>
              <a:gd name="connsiteY0" fmla="*/ 24249 h 222945"/>
              <a:gd name="connsiteX1" fmla="*/ 1158879 w 1158879"/>
              <a:gd name="connsiteY1" fmla="*/ 4359 h 222945"/>
              <a:gd name="connsiteX2" fmla="*/ 1158879 w 1158879"/>
              <a:gd name="connsiteY2" fmla="*/ 222945 h 222945"/>
              <a:gd name="connsiteX3" fmla="*/ 13905 w 1158879"/>
              <a:gd name="connsiteY3" fmla="*/ 222945 h 222945"/>
              <a:gd name="connsiteX4" fmla="*/ 0 w 1158879"/>
              <a:gd name="connsiteY4" fmla="*/ 24249 h 222945"/>
              <a:gd name="connsiteX0" fmla="*/ 0 w 1158879"/>
              <a:gd name="connsiteY0" fmla="*/ 46693 h 245389"/>
              <a:gd name="connsiteX1" fmla="*/ 1152249 w 1158879"/>
              <a:gd name="connsiteY1" fmla="*/ 3204 h 245389"/>
              <a:gd name="connsiteX2" fmla="*/ 1158879 w 1158879"/>
              <a:gd name="connsiteY2" fmla="*/ 245389 h 245389"/>
              <a:gd name="connsiteX3" fmla="*/ 13905 w 1158879"/>
              <a:gd name="connsiteY3" fmla="*/ 245389 h 245389"/>
              <a:gd name="connsiteX4" fmla="*/ 0 w 1158879"/>
              <a:gd name="connsiteY4" fmla="*/ 46693 h 245389"/>
              <a:gd name="connsiteX0" fmla="*/ 5985 w 1144974"/>
              <a:gd name="connsiteY0" fmla="*/ 0 h 277360"/>
              <a:gd name="connsiteX1" fmla="*/ 1138344 w 1144974"/>
              <a:gd name="connsiteY1" fmla="*/ 35175 h 277360"/>
              <a:gd name="connsiteX2" fmla="*/ 1144974 w 1144974"/>
              <a:gd name="connsiteY2" fmla="*/ 277360 h 277360"/>
              <a:gd name="connsiteX3" fmla="*/ 0 w 1144974"/>
              <a:gd name="connsiteY3" fmla="*/ 277360 h 277360"/>
              <a:gd name="connsiteX4" fmla="*/ 5985 w 1144974"/>
              <a:gd name="connsiteY4" fmla="*/ 0 h 277360"/>
              <a:gd name="connsiteX0" fmla="*/ 0 w 1178769"/>
              <a:gd name="connsiteY0" fmla="*/ 12024 h 242185"/>
              <a:gd name="connsiteX1" fmla="*/ 1172139 w 1178769"/>
              <a:gd name="connsiteY1" fmla="*/ 0 h 242185"/>
              <a:gd name="connsiteX2" fmla="*/ 1178769 w 1178769"/>
              <a:gd name="connsiteY2" fmla="*/ 242185 h 242185"/>
              <a:gd name="connsiteX3" fmla="*/ 33795 w 1178769"/>
              <a:gd name="connsiteY3" fmla="*/ 242185 h 242185"/>
              <a:gd name="connsiteX4" fmla="*/ 0 w 1178769"/>
              <a:gd name="connsiteY4" fmla="*/ 12024 h 2421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78769" h="242185">
                <a:moveTo>
                  <a:pt x="0" y="12024"/>
                </a:moveTo>
                <a:lnTo>
                  <a:pt x="1172139" y="0"/>
                </a:lnTo>
                <a:lnTo>
                  <a:pt x="1178769" y="242185"/>
                </a:lnTo>
                <a:lnTo>
                  <a:pt x="33795" y="242185"/>
                </a:lnTo>
                <a:lnTo>
                  <a:pt x="0" y="12024"/>
                </a:lnTo>
                <a:close/>
              </a:path>
            </a:pathLst>
          </a:custGeom>
          <a:solidFill>
            <a:srgbClr val="CCCBC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BL6">
        <xdr:nvSpPr>
          <xdr:cNvPr id="1100" name="TextBox 1099">
            <a:extLst>
              <a:ext uri="{FF2B5EF4-FFF2-40B4-BE49-F238E27FC236}">
                <a16:creationId xmlns:a16="http://schemas.microsoft.com/office/drawing/2014/main" id="{B155537A-4425-C44D-8326-F33A4BFFDD7B}"/>
              </a:ext>
            </a:extLst>
          </xdr:cNvPr>
          <xdr:cNvSpPr txBox="1"/>
        </xdr:nvSpPr>
        <xdr:spPr>
          <a:xfrm>
            <a:off x="14448808" y="7650997"/>
            <a:ext cx="1038697" cy="277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E7E23F7-D14D-4E47-B139-396583B3BC5A}" type="TxLink">
              <a:rPr lang="en-US" sz="1400" b="1" i="0" u="none" strike="noStrike">
                <a:solidFill>
                  <a:srgbClr val="000000"/>
                </a:solidFill>
                <a:latin typeface="Baskerville"/>
                <a:ea typeface="Baskerville"/>
                <a:cs typeface="Times New Roman" panose="02020603050405020304" pitchFamily="18" charset="0"/>
              </a:rPr>
              <a:pPr marL="0" indent="0" algn="l"/>
              <a:t>13</a:t>
            </a:fld>
            <a:endParaRPr lang="en-US" sz="1400" b="1" i="0" u="none" strike="noStrike">
              <a:solidFill>
                <a:srgbClr val="000000"/>
              </a:solidFill>
              <a:latin typeface="Baskerville"/>
              <a:ea typeface="Baskerville"/>
              <a:cs typeface="Times New Roman" panose="02020603050405020304" pitchFamily="18" charset="0"/>
            </a:endParaRPr>
          </a:p>
        </xdr:txBody>
      </xdr:sp>
      <xdr:sp macro="" textlink="Pivottable!BM6">
        <xdr:nvSpPr>
          <xdr:cNvPr id="1101" name="TextBox 1100">
            <a:extLst>
              <a:ext uri="{FF2B5EF4-FFF2-40B4-BE49-F238E27FC236}">
                <a16:creationId xmlns:a16="http://schemas.microsoft.com/office/drawing/2014/main" id="{81D5DA47-361E-F942-90B8-50E72E3CF9BA}"/>
              </a:ext>
            </a:extLst>
          </xdr:cNvPr>
          <xdr:cNvSpPr txBox="1"/>
        </xdr:nvSpPr>
        <xdr:spPr>
          <a:xfrm>
            <a:off x="14448808" y="7967251"/>
            <a:ext cx="1038697" cy="269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54C2B39-A6FC-7440-9D52-2003A915B9AD}" type="TxLink">
              <a:rPr lang="en-US" sz="1400" b="1" i="0" u="none" strike="noStrike">
                <a:solidFill>
                  <a:srgbClr val="000000"/>
                </a:solidFill>
                <a:latin typeface="Baskerville"/>
                <a:ea typeface="Baskerville"/>
                <a:cs typeface="Times New Roman" panose="02020603050405020304" pitchFamily="18" charset="0"/>
              </a:rPr>
              <a:pPr marL="0" indent="0" algn="l"/>
              <a:t>17</a:t>
            </a:fld>
            <a:endParaRPr lang="en-US" sz="1400" b="1" i="0" u="none" strike="noStrike">
              <a:solidFill>
                <a:srgbClr val="000000"/>
              </a:solidFill>
              <a:latin typeface="Baskerville"/>
              <a:ea typeface="Baskerville"/>
              <a:cs typeface="Times New Roman" panose="02020603050405020304" pitchFamily="18" charset="0"/>
            </a:endParaRPr>
          </a:p>
        </xdr:txBody>
      </xdr:sp>
      <xdr:sp macro="" textlink="Pivottable!BN6">
        <xdr:nvSpPr>
          <xdr:cNvPr id="1102" name="TextBox 1101">
            <a:extLst>
              <a:ext uri="{FF2B5EF4-FFF2-40B4-BE49-F238E27FC236}">
                <a16:creationId xmlns:a16="http://schemas.microsoft.com/office/drawing/2014/main" id="{3068505E-1A7E-DC42-A8B1-E4591503975B}"/>
              </a:ext>
            </a:extLst>
          </xdr:cNvPr>
          <xdr:cNvSpPr txBox="1"/>
        </xdr:nvSpPr>
        <xdr:spPr>
          <a:xfrm>
            <a:off x="14448808" y="8275537"/>
            <a:ext cx="1038697" cy="277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17EDFC1-0D1D-0542-8ECC-795DF4DB88E0}" type="TxLink">
              <a:rPr lang="en-US" sz="1400" b="1" i="0" u="none" strike="noStrike">
                <a:solidFill>
                  <a:srgbClr val="000000"/>
                </a:solidFill>
                <a:latin typeface="Baskerville"/>
                <a:ea typeface="Baskerville"/>
                <a:cs typeface="Times New Roman" panose="02020603050405020304" pitchFamily="18" charset="0"/>
              </a:rPr>
              <a:pPr marL="0" indent="0" algn="l"/>
              <a:t>31</a:t>
            </a:fld>
            <a:endParaRPr lang="en-US" sz="1400" b="1" i="0" u="none" strike="noStrike">
              <a:solidFill>
                <a:srgbClr val="000000"/>
              </a:solidFill>
              <a:latin typeface="Baskerville"/>
              <a:ea typeface="Baskerville"/>
              <a:cs typeface="Times New Roman" panose="02020603050405020304" pitchFamily="18" charset="0"/>
            </a:endParaRPr>
          </a:p>
        </xdr:txBody>
      </xdr:sp>
      <xdr:sp macro="" textlink="">
        <xdr:nvSpPr>
          <xdr:cNvPr id="1135" name="TextBox 1134">
            <a:extLst>
              <a:ext uri="{FF2B5EF4-FFF2-40B4-BE49-F238E27FC236}">
                <a16:creationId xmlns:a16="http://schemas.microsoft.com/office/drawing/2014/main" id="{00000000-0008-0000-0300-00006F040000}"/>
              </a:ext>
            </a:extLst>
          </xdr:cNvPr>
          <xdr:cNvSpPr txBox="1"/>
        </xdr:nvSpPr>
        <xdr:spPr>
          <a:xfrm>
            <a:off x="7559515" y="6169434"/>
            <a:ext cx="1628756" cy="53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ESS</a:t>
            </a:r>
            <a:r>
              <a:rPr lang="en-US" sz="14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 </a:t>
            </a:r>
          </a:p>
          <a:p>
            <a:pPr algn="l"/>
            <a:r>
              <a:rPr lang="en-US" sz="14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Shipment Request</a:t>
            </a:r>
            <a:endParaRPr lang="en-US" sz="14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clientData/>
  </xdr:twoCellAnchor>
</xdr:wsDr>
</file>

<file path=xl/drawings/drawing3.xml><?xml version="1.0" encoding="utf-8"?>
<c:userShapes xmlns:c="http://schemas.openxmlformats.org/drawingml/2006/chart">
  <cdr:relSizeAnchor xmlns:cdr="http://schemas.openxmlformats.org/drawingml/2006/chartDrawing">
    <cdr:from>
      <cdr:x>0.01911</cdr:x>
      <cdr:y>0.09434</cdr:y>
    </cdr:from>
    <cdr:to>
      <cdr:x>0.26941</cdr:x>
      <cdr:y>0.31578</cdr:y>
    </cdr:to>
    <cdr:sp macro="" textlink="">
      <cdr:nvSpPr>
        <cdr:cNvPr id="2" name="TextBox 31">
          <a:extLst xmlns:a="http://schemas.openxmlformats.org/drawingml/2006/main">
            <a:ext uri="{FF2B5EF4-FFF2-40B4-BE49-F238E27FC236}">
              <a16:creationId xmlns:a16="http://schemas.microsoft.com/office/drawing/2014/main" id="{EAA2C6CC-6D2F-627E-37E3-7BFAEA438ACC}"/>
            </a:ext>
          </a:extLst>
        </cdr:cNvPr>
        <cdr:cNvSpPr txBox="1"/>
      </cdr:nvSpPr>
      <cdr:spPr>
        <a:xfrm xmlns:a="http://schemas.openxmlformats.org/drawingml/2006/main">
          <a:off x="170252" y="148382"/>
          <a:ext cx="2230190" cy="34829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r>
            <a:rPr lang="en-US" sz="1200" b="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rPr>
            <a:t>Income &amp;</a:t>
          </a:r>
          <a:r>
            <a:rPr lang="en-US" sz="1200" b="0" baseline="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rPr>
            <a:t> Expenses</a:t>
          </a:r>
          <a:endParaRPr lang="en-US" sz="1400" b="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endParaRPr>
        </a:p>
        <a:p xmlns:a="http://schemas.openxmlformats.org/drawingml/2006/main">
          <a:endParaRPr lang="en-US" sz="1200" b="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34.983551273152" createdVersion="8" refreshedVersion="8" minRefreshableVersion="3" recordCount="61" xr:uid="{2E98AF3D-D80B-EC4F-976B-A13FC9ECEFC0}">
  <cacheSource type="worksheet">
    <worksheetSource name="Datatable"/>
  </cacheSource>
  <cacheFields count="30">
    <cacheField name="Month" numFmtId="164">
      <sharedItems count="12">
        <s v="Jan"/>
        <s v="Feb"/>
        <s v="Mar"/>
        <s v="Apr"/>
        <s v="May"/>
        <s v="Jun"/>
        <s v="Jul"/>
        <s v="Aug"/>
        <s v="Sep"/>
        <s v="Oct"/>
        <s v="Nov"/>
        <s v="Dec"/>
      </sharedItems>
    </cacheField>
    <cacheField name="Day" numFmtId="1">
      <sharedItems containsSemiMixedTypes="0" containsString="0" containsNumber="1" containsInteger="1" minValue="1" maxValue="29"/>
    </cacheField>
    <cacheField name="Load" numFmtId="0">
      <sharedItems count="3">
        <s v="Wood"/>
        <s v="Sand"/>
        <s v="Iron"/>
      </sharedItems>
    </cacheField>
    <cacheField name="Tonnage" numFmtId="167">
      <sharedItems containsSemiMixedTypes="0" containsString="0" containsNumber="1" minValue="11" maxValue="23"/>
    </cacheField>
    <cacheField name="Customer Type" numFmtId="0">
      <sharedItems count="2">
        <s v="Retaining Customer"/>
        <s v="New Customer"/>
      </sharedItems>
    </cacheField>
    <cacheField name="Destination" numFmtId="0">
      <sharedItems count="8">
        <s v="Nunavut"/>
        <s v="British Columbia"/>
        <s v="Manitoba"/>
        <s v="New Brunswick"/>
        <s v="Alberta"/>
        <s v="Yukon"/>
        <s v="Nova Scotia"/>
        <s v="Nunavut." u="1"/>
      </sharedItems>
    </cacheField>
    <cacheField name="Rate" numFmtId="165">
      <sharedItems containsSemiMixedTypes="0" containsString="0" containsNumber="1" containsInteger="1" minValue="3456" maxValue="8765"/>
    </cacheField>
    <cacheField name="Truck" numFmtId="0">
      <sharedItems/>
    </cacheField>
    <cacheField name="Insurance" numFmtId="165">
      <sharedItems containsSemiMixedTypes="0" containsString="0" containsNumber="1" containsInteger="1" minValue="132" maxValue="132"/>
    </cacheField>
    <cacheField name="Fuel" numFmtId="165">
      <sharedItems containsSemiMixedTypes="0" containsString="0" containsNumber="1" containsInteger="1" minValue="245" maxValue="453"/>
    </cacheField>
    <cacheField name="Diesel Exhaust Fluid" numFmtId="165">
      <sharedItems containsSemiMixedTypes="0" containsString="0" containsNumber="1" containsInteger="1" minValue="50" maxValue="74"/>
    </cacheField>
    <cacheField name="Advance" numFmtId="165">
      <sharedItems containsSemiMixedTypes="0" containsString="0" containsNumber="1" containsInteger="1" minValue="250" maxValue="250"/>
    </cacheField>
    <cacheField name="Warehouse" numFmtId="165">
      <sharedItems containsSemiMixedTypes="0" containsString="0" containsNumber="1" containsInteger="1" minValue="120" maxValue="134"/>
    </cacheField>
    <cacheField name="Repairs" numFmtId="165">
      <sharedItems containsString="0" containsBlank="1" containsNumber="1" containsInteger="1" minValue="32" maxValue="65"/>
    </cacheField>
    <cacheField name="Tolls" numFmtId="165">
      <sharedItems containsSemiMixedTypes="0" containsString="0" containsNumber="1" containsInteger="1" minValue="51" maxValue="134"/>
    </cacheField>
    <cacheField name="Fundings" numFmtId="165">
      <sharedItems containsSemiMixedTypes="0" containsString="0" containsNumber="1" containsInteger="1" minValue="6" maxValue="66"/>
    </cacheField>
    <cacheField name="Driver Name" numFmtId="166">
      <sharedItems count="4">
        <s v="Alessandro Smith"/>
        <s v="Beauregard Mike"/>
        <s v="Jean Bartholomew"/>
        <s v="Jaison Augustine"/>
      </sharedItems>
    </cacheField>
    <cacheField name="Odometer" numFmtId="1">
      <sharedItems containsSemiMixedTypes="0" containsString="0" containsNumber="1" minValue="295.41000000000003" maxValue="333"/>
    </cacheField>
    <cacheField name="Miles" numFmtId="0">
      <sharedItems containsSemiMixedTypes="0" containsString="0" containsNumber="1" containsInteger="1" minValue="234" maxValue="399"/>
    </cacheField>
    <cacheField name="Rate Per Miles" numFmtId="165">
      <sharedItems containsSemiMixedTypes="0" containsString="0" containsNumber="1" minValue="163.79999999999998" maxValue="279.29999999999995"/>
    </cacheField>
    <cacheField name="Extra Stops" numFmtId="165">
      <sharedItems containsSemiMixedTypes="0" containsString="0" containsNumber="1" containsInteger="1" minValue="100" maxValue="100"/>
    </cacheField>
    <cacheField name="Extra Pay" numFmtId="165">
      <sharedItems containsSemiMixedTypes="0" containsString="0" containsNumber="1" containsInteger="1" minValue="22" maxValue="29"/>
    </cacheField>
    <cacheField name="Costs Driver Paid" numFmtId="165">
      <sharedItems containsSemiMixedTypes="0" containsString="0" containsNumber="1" containsInteger="1" minValue="54" maxValue="61"/>
    </cacheField>
    <cacheField name="Total Expenses" numFmtId="165">
      <sharedItems containsSemiMixedTypes="0" containsString="0" containsNumber="1" minValue="1409.1" maxValue="1622.9"/>
    </cacheField>
    <cacheField name="First condition type" numFmtId="165">
      <sharedItems containsSemiMixedTypes="0" containsString="0" containsNumber="1" minValue="449.28000000000003" maxValue="1139.45"/>
    </cacheField>
    <cacheField name="Shipment cost sub-items" numFmtId="165">
      <sharedItems containsSemiMixedTypes="0" containsString="0" containsNumber="1" minValue="691.2" maxValue="1753"/>
    </cacheField>
    <cacheField name="ERE Stage" numFmtId="165">
      <sharedItems containsSemiMixedTypes="0" containsString="0" containsNumber="1" minValue="587.5200000000001" maxValue="1490.0500000000002"/>
    </cacheField>
    <cacheField name="Basic freight" numFmtId="165">
      <sharedItems containsSemiMixedTypes="0" containsString="0" containsNumber="1" minValue="864" maxValue="2191.25"/>
    </cacheField>
    <cacheField name="Final Amount" numFmtId="165">
      <sharedItems containsSemiMixedTypes="0" containsString="0" containsNumber="1" minValue="1036.8" maxValue="2629.5"/>
    </cacheField>
    <cacheField name="Balance" numFmtId="0" formula="Rate-'Total Expenses'" databaseField="0"/>
  </cacheFields>
  <extLst>
    <ext xmlns:x14="http://schemas.microsoft.com/office/spreadsheetml/2009/9/main" uri="{725AE2AE-9491-48be-B2B4-4EB974FC3084}">
      <x14:pivotCacheDefinition pivotCacheId="11085248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n v="1"/>
    <x v="0"/>
    <n v="11"/>
    <x v="0"/>
    <x v="0"/>
    <n v="5556"/>
    <s v="Freightliner Sprinter"/>
    <n v="132"/>
    <n v="400"/>
    <n v="50"/>
    <n v="250"/>
    <n v="120"/>
    <n v="65"/>
    <n v="134"/>
    <n v="6"/>
    <x v="0"/>
    <n v="295.41000000000003"/>
    <n v="343"/>
    <n v="240.1"/>
    <n v="100"/>
    <n v="22"/>
    <n v="54"/>
    <n v="1573.1"/>
    <n v="722.28"/>
    <n v="1111.2"/>
    <n v="944.5200000000001"/>
    <n v="1389"/>
    <n v="1666.8"/>
  </r>
  <r>
    <x v="0"/>
    <n v="3"/>
    <x v="0"/>
    <n v="21.3"/>
    <x v="0"/>
    <x v="1"/>
    <n v="5556"/>
    <s v="Freightliner Sprinter"/>
    <n v="132"/>
    <n v="400"/>
    <n v="50"/>
    <n v="250"/>
    <n v="120"/>
    <n v="65"/>
    <n v="134"/>
    <n v="6"/>
    <x v="1"/>
    <n v="295.41000000000003"/>
    <n v="343"/>
    <n v="240.1"/>
    <n v="100"/>
    <n v="22"/>
    <n v="54"/>
    <n v="1573.1"/>
    <n v="722.28"/>
    <n v="1111.2"/>
    <n v="944.5200000000001"/>
    <n v="1389"/>
    <n v="1666.8"/>
  </r>
  <r>
    <x v="0"/>
    <n v="13"/>
    <x v="0"/>
    <n v="22"/>
    <x v="0"/>
    <x v="2"/>
    <n v="5556"/>
    <s v="Freightliner Sprinter"/>
    <n v="132"/>
    <n v="400"/>
    <n v="50"/>
    <n v="250"/>
    <n v="120"/>
    <n v="65"/>
    <n v="134"/>
    <n v="6"/>
    <x v="2"/>
    <n v="295.41000000000003"/>
    <n v="343"/>
    <n v="240.1"/>
    <n v="100"/>
    <n v="22"/>
    <n v="54"/>
    <n v="1573.1"/>
    <n v="722.28"/>
    <n v="1111.2"/>
    <n v="944.5200000000001"/>
    <n v="1389"/>
    <n v="1666.8"/>
  </r>
  <r>
    <x v="1"/>
    <n v="4"/>
    <x v="1"/>
    <n v="14.5"/>
    <x v="0"/>
    <x v="1"/>
    <n v="4567"/>
    <s v="Freightliner Sprinter"/>
    <n v="132"/>
    <n v="333"/>
    <n v="51"/>
    <n v="250"/>
    <n v="134"/>
    <n v="65"/>
    <n v="134"/>
    <n v="6"/>
    <x v="0"/>
    <n v="295.41000000000003"/>
    <n v="354"/>
    <n v="247.79999999999998"/>
    <n v="100"/>
    <n v="23"/>
    <n v="55"/>
    <n v="1530.8"/>
    <n v="593.71"/>
    <n v="913.40000000000009"/>
    <n v="776.3900000000001"/>
    <n v="1141.75"/>
    <n v="1370.1"/>
  </r>
  <r>
    <x v="1"/>
    <n v="5"/>
    <x v="1"/>
    <n v="18"/>
    <x v="0"/>
    <x v="2"/>
    <n v="4567"/>
    <s v="Freightliner Sprinter"/>
    <n v="132"/>
    <n v="333"/>
    <n v="52"/>
    <n v="250"/>
    <n v="134"/>
    <n v="65"/>
    <n v="134"/>
    <n v="6"/>
    <x v="1"/>
    <n v="295.41000000000003"/>
    <n v="354"/>
    <n v="247.79999999999998"/>
    <n v="100"/>
    <n v="23"/>
    <n v="55"/>
    <n v="1531.8"/>
    <n v="593.71"/>
    <n v="913.40000000000009"/>
    <n v="776.3900000000001"/>
    <n v="1141.75"/>
    <n v="1370.1"/>
  </r>
  <r>
    <x v="1"/>
    <n v="6"/>
    <x v="1"/>
    <n v="19"/>
    <x v="0"/>
    <x v="3"/>
    <n v="4567"/>
    <s v="Freightliner Sprinter"/>
    <n v="132"/>
    <n v="333"/>
    <n v="53"/>
    <n v="250"/>
    <n v="134"/>
    <n v="65"/>
    <n v="134"/>
    <n v="6"/>
    <x v="2"/>
    <n v="295.41000000000003"/>
    <n v="354"/>
    <n v="247.79999999999998"/>
    <n v="100"/>
    <n v="23"/>
    <n v="55"/>
    <n v="1532.8"/>
    <n v="593.71"/>
    <n v="913.40000000000009"/>
    <n v="776.3900000000001"/>
    <n v="1141.75"/>
    <n v="1370.1"/>
  </r>
  <r>
    <x v="1"/>
    <n v="14"/>
    <x v="1"/>
    <n v="20"/>
    <x v="0"/>
    <x v="0"/>
    <n v="4567"/>
    <s v="Freightliner Sprinter"/>
    <n v="132"/>
    <n v="333"/>
    <n v="54"/>
    <n v="250"/>
    <n v="134"/>
    <n v="65"/>
    <n v="134"/>
    <n v="6"/>
    <x v="3"/>
    <n v="295.41000000000003"/>
    <n v="354"/>
    <n v="247.79999999999998"/>
    <n v="100"/>
    <n v="23"/>
    <n v="55"/>
    <n v="1533.8"/>
    <n v="593.71"/>
    <n v="913.40000000000009"/>
    <n v="776.3900000000001"/>
    <n v="1141.75"/>
    <n v="1370.1"/>
  </r>
  <r>
    <x v="2"/>
    <n v="2"/>
    <x v="2"/>
    <n v="21"/>
    <x v="0"/>
    <x v="2"/>
    <n v="3458"/>
    <s v="Freightliner Sprinter"/>
    <n v="132"/>
    <n v="453"/>
    <n v="55"/>
    <n v="250"/>
    <n v="121"/>
    <n v="32"/>
    <n v="56"/>
    <n v="56"/>
    <x v="0"/>
    <n v="295.41000000000003"/>
    <n v="333"/>
    <n v="233.1"/>
    <n v="100"/>
    <n v="24"/>
    <n v="56"/>
    <n v="1568.1"/>
    <n v="449.54"/>
    <n v="691.6"/>
    <n v="587.86"/>
    <n v="864.5"/>
    <n v="1037.3999999999999"/>
  </r>
  <r>
    <x v="2"/>
    <n v="3"/>
    <x v="2"/>
    <n v="22"/>
    <x v="1"/>
    <x v="1"/>
    <n v="3458"/>
    <s v="Freightliner Sprinter"/>
    <n v="132"/>
    <n v="453"/>
    <n v="56"/>
    <n v="250"/>
    <n v="121"/>
    <n v="32"/>
    <n v="56"/>
    <n v="56"/>
    <x v="1"/>
    <n v="295.41000000000003"/>
    <n v="333"/>
    <n v="233.1"/>
    <n v="100"/>
    <n v="24"/>
    <n v="56"/>
    <n v="1569.1"/>
    <n v="449.54"/>
    <n v="691.6"/>
    <n v="587.86"/>
    <n v="864.5"/>
    <n v="1037.3999999999999"/>
  </r>
  <r>
    <x v="2"/>
    <n v="7"/>
    <x v="1"/>
    <n v="22.7"/>
    <x v="1"/>
    <x v="2"/>
    <n v="3458"/>
    <s v="Freightliner Sprinter"/>
    <n v="132"/>
    <n v="453"/>
    <n v="57"/>
    <n v="250"/>
    <n v="121"/>
    <n v="32"/>
    <n v="56"/>
    <n v="56"/>
    <x v="3"/>
    <n v="295.41000000000003"/>
    <n v="333"/>
    <n v="233.1"/>
    <n v="100"/>
    <n v="24"/>
    <n v="56"/>
    <n v="1570.1"/>
    <n v="449.54"/>
    <n v="691.6"/>
    <n v="587.86"/>
    <n v="864.5"/>
    <n v="1037.3999999999999"/>
  </r>
  <r>
    <x v="2"/>
    <n v="8"/>
    <x v="2"/>
    <n v="12"/>
    <x v="0"/>
    <x v="3"/>
    <n v="3458"/>
    <s v="Freightliner Sprinter"/>
    <n v="132"/>
    <n v="453"/>
    <n v="58"/>
    <n v="250"/>
    <n v="121"/>
    <n v="32"/>
    <n v="56"/>
    <n v="56"/>
    <x v="3"/>
    <n v="295.41000000000003"/>
    <n v="333"/>
    <n v="233.1"/>
    <n v="100"/>
    <n v="24"/>
    <n v="56"/>
    <n v="1571.1"/>
    <n v="449.54"/>
    <n v="691.6"/>
    <n v="587.86"/>
    <n v="864.5"/>
    <n v="1037.3999999999999"/>
  </r>
  <r>
    <x v="2"/>
    <n v="9"/>
    <x v="0"/>
    <n v="13"/>
    <x v="1"/>
    <x v="4"/>
    <n v="3458"/>
    <s v="Freightliner Sprinter"/>
    <n v="132"/>
    <n v="453"/>
    <n v="59"/>
    <n v="250"/>
    <n v="121"/>
    <m/>
    <n v="56"/>
    <n v="56"/>
    <x v="0"/>
    <n v="295.41000000000003"/>
    <n v="333"/>
    <n v="233.1"/>
    <n v="100"/>
    <n v="24"/>
    <n v="56"/>
    <n v="1540.1"/>
    <n v="449.54"/>
    <n v="691.6"/>
    <n v="587.86"/>
    <n v="864.5"/>
    <n v="1037.3999999999999"/>
  </r>
  <r>
    <x v="3"/>
    <n v="12"/>
    <x v="0"/>
    <n v="16"/>
    <x v="0"/>
    <x v="5"/>
    <n v="6433"/>
    <s v="Chevrolet Express"/>
    <n v="132"/>
    <n v="399"/>
    <n v="72"/>
    <n v="250"/>
    <n v="134"/>
    <m/>
    <n v="134"/>
    <n v="6"/>
    <x v="1"/>
    <n v="295.41000000000003"/>
    <n v="343"/>
    <n v="240.1"/>
    <n v="100"/>
    <n v="25"/>
    <n v="57"/>
    <n v="1549.1"/>
    <n v="836.29000000000008"/>
    <n v="1286.6000000000001"/>
    <n v="1093.6100000000001"/>
    <n v="1608.25"/>
    <n v="1929.8999999999999"/>
  </r>
  <r>
    <x v="3"/>
    <n v="16"/>
    <x v="1"/>
    <n v="17"/>
    <x v="1"/>
    <x v="6"/>
    <n v="6433"/>
    <s v="Chevrolet Express"/>
    <n v="132"/>
    <n v="399"/>
    <n v="73"/>
    <n v="250"/>
    <n v="134"/>
    <n v="65"/>
    <n v="134"/>
    <n v="6"/>
    <x v="2"/>
    <n v="295.41000000000003"/>
    <n v="343"/>
    <n v="240.1"/>
    <n v="100"/>
    <n v="25"/>
    <n v="57"/>
    <n v="1615.1"/>
    <n v="836.29000000000008"/>
    <n v="1286.6000000000001"/>
    <n v="1093.6100000000001"/>
    <n v="1608.25"/>
    <n v="1929.8999999999999"/>
  </r>
  <r>
    <x v="3"/>
    <n v="22"/>
    <x v="0"/>
    <n v="18"/>
    <x v="1"/>
    <x v="2"/>
    <n v="6433"/>
    <s v="Chevrolet Express"/>
    <n v="132"/>
    <n v="399"/>
    <n v="74"/>
    <n v="250"/>
    <n v="134"/>
    <n v="65"/>
    <n v="134"/>
    <n v="6"/>
    <x v="3"/>
    <n v="295.41000000000003"/>
    <n v="343"/>
    <n v="240.1"/>
    <n v="100"/>
    <n v="25"/>
    <n v="57"/>
    <n v="1616.1"/>
    <n v="836.29000000000008"/>
    <n v="1286.6000000000001"/>
    <n v="1093.6100000000001"/>
    <n v="1608.25"/>
    <n v="1929.8999999999999"/>
  </r>
  <r>
    <x v="4"/>
    <n v="5"/>
    <x v="1"/>
    <n v="11"/>
    <x v="0"/>
    <x v="0"/>
    <n v="8765"/>
    <s v="Chevrolet Express"/>
    <n v="132"/>
    <n v="387"/>
    <n v="50"/>
    <n v="250"/>
    <n v="128"/>
    <n v="34"/>
    <n v="128"/>
    <n v="46"/>
    <x v="0"/>
    <n v="333"/>
    <n v="343"/>
    <n v="240.1"/>
    <n v="100"/>
    <n v="26"/>
    <n v="58"/>
    <n v="1579.1"/>
    <n v="1139.45"/>
    <n v="1753"/>
    <n v="1490.0500000000002"/>
    <n v="2191.25"/>
    <n v="2629.5"/>
  </r>
  <r>
    <x v="4"/>
    <n v="13"/>
    <x v="1"/>
    <n v="21"/>
    <x v="0"/>
    <x v="6"/>
    <n v="8765"/>
    <s v="Chevrolet Express"/>
    <n v="132"/>
    <n v="387"/>
    <n v="50"/>
    <n v="250"/>
    <n v="128"/>
    <n v="34"/>
    <n v="128"/>
    <n v="46"/>
    <x v="1"/>
    <n v="333"/>
    <n v="343"/>
    <n v="240.1"/>
    <n v="100"/>
    <n v="26"/>
    <n v="58"/>
    <n v="1579.1"/>
    <n v="1139.45"/>
    <n v="1753"/>
    <n v="1490.0500000000002"/>
    <n v="2191.25"/>
    <n v="2629.5"/>
  </r>
  <r>
    <x v="4"/>
    <n v="14"/>
    <x v="1"/>
    <n v="22"/>
    <x v="0"/>
    <x v="3"/>
    <n v="8765"/>
    <s v="Chevrolet Express"/>
    <n v="132"/>
    <n v="387"/>
    <n v="50"/>
    <n v="250"/>
    <n v="128"/>
    <n v="34"/>
    <n v="128"/>
    <n v="46"/>
    <x v="2"/>
    <n v="333"/>
    <n v="343"/>
    <n v="240.1"/>
    <n v="100"/>
    <n v="26"/>
    <n v="58"/>
    <n v="1579.1"/>
    <n v="1139.45"/>
    <n v="1753"/>
    <n v="1490.0500000000002"/>
    <n v="2191.25"/>
    <n v="2629.5"/>
  </r>
  <r>
    <x v="4"/>
    <n v="15"/>
    <x v="2"/>
    <n v="23"/>
    <x v="1"/>
    <x v="0"/>
    <n v="8765"/>
    <s v="Chevrolet Express"/>
    <n v="132"/>
    <n v="387"/>
    <n v="50"/>
    <n v="250"/>
    <n v="128"/>
    <n v="34"/>
    <n v="128"/>
    <n v="46"/>
    <x v="3"/>
    <n v="333"/>
    <n v="343"/>
    <n v="240.1"/>
    <n v="100"/>
    <n v="26"/>
    <n v="58"/>
    <n v="1579.1"/>
    <n v="1139.45"/>
    <n v="1753"/>
    <n v="1490.0500000000002"/>
    <n v="2191.25"/>
    <n v="2629.5"/>
  </r>
  <r>
    <x v="5"/>
    <n v="17"/>
    <x v="2"/>
    <n v="12.9"/>
    <x v="0"/>
    <x v="2"/>
    <n v="5432"/>
    <s v="Chevrolet Express"/>
    <n v="132"/>
    <n v="245"/>
    <n v="50"/>
    <n v="250"/>
    <n v="120"/>
    <m/>
    <n v="120"/>
    <n v="66"/>
    <x v="0"/>
    <n v="295.41000000000003"/>
    <n v="343"/>
    <n v="240.1"/>
    <n v="100"/>
    <n v="27"/>
    <n v="59"/>
    <n v="1409.1"/>
    <n v="706.16"/>
    <n v="1086.4000000000001"/>
    <n v="923.44"/>
    <n v="1358"/>
    <n v="1629.6"/>
  </r>
  <r>
    <x v="5"/>
    <n v="18"/>
    <x v="2"/>
    <n v="12.9"/>
    <x v="0"/>
    <x v="3"/>
    <n v="5432"/>
    <s v="Chevrolet Express"/>
    <n v="132"/>
    <n v="245"/>
    <n v="50"/>
    <n v="250"/>
    <n v="120"/>
    <m/>
    <n v="120"/>
    <n v="66"/>
    <x v="1"/>
    <n v="295.41000000000003"/>
    <n v="343"/>
    <n v="240.1"/>
    <n v="100"/>
    <n v="27"/>
    <n v="59"/>
    <n v="1409.1"/>
    <n v="706.16"/>
    <n v="1086.4000000000001"/>
    <n v="923.44"/>
    <n v="1358"/>
    <n v="1629.6"/>
  </r>
  <r>
    <x v="5"/>
    <n v="18"/>
    <x v="2"/>
    <n v="21"/>
    <x v="0"/>
    <x v="6"/>
    <n v="5432"/>
    <s v="Chevrolet Express"/>
    <n v="132"/>
    <n v="245"/>
    <n v="50"/>
    <n v="250"/>
    <n v="120"/>
    <m/>
    <n v="120"/>
    <n v="66"/>
    <x v="2"/>
    <n v="295.41000000000003"/>
    <n v="343"/>
    <n v="240.1"/>
    <n v="100"/>
    <n v="27"/>
    <n v="59"/>
    <n v="1409.1"/>
    <n v="706.16"/>
    <n v="1086.4000000000001"/>
    <n v="923.44"/>
    <n v="1358"/>
    <n v="1629.6"/>
  </r>
  <r>
    <x v="5"/>
    <n v="24"/>
    <x v="2"/>
    <n v="22"/>
    <x v="1"/>
    <x v="6"/>
    <n v="5432"/>
    <s v="Chevrolet Express"/>
    <n v="132"/>
    <n v="245"/>
    <n v="50"/>
    <n v="250"/>
    <n v="120"/>
    <m/>
    <n v="120"/>
    <n v="66"/>
    <x v="3"/>
    <n v="295.41000000000003"/>
    <n v="343"/>
    <n v="240.1"/>
    <n v="100"/>
    <n v="27"/>
    <n v="59"/>
    <n v="1409.1"/>
    <n v="706.16"/>
    <n v="1086.4000000000001"/>
    <n v="923.44"/>
    <n v="1358"/>
    <n v="1629.6"/>
  </r>
  <r>
    <x v="6"/>
    <n v="7"/>
    <x v="0"/>
    <n v="23"/>
    <x v="1"/>
    <x v="1"/>
    <n v="6778"/>
    <s v="RAM ProMaster"/>
    <n v="132"/>
    <n v="400"/>
    <n v="50"/>
    <n v="250"/>
    <n v="134"/>
    <m/>
    <n v="134"/>
    <n v="6"/>
    <x v="0"/>
    <n v="295.41000000000003"/>
    <n v="377"/>
    <n v="263.89999999999998"/>
    <n v="100"/>
    <n v="28"/>
    <n v="60"/>
    <n v="1557.9"/>
    <n v="881.14"/>
    <n v="1355.6000000000001"/>
    <n v="1152.26"/>
    <n v="1694.5"/>
    <n v="2033.3999999999999"/>
  </r>
  <r>
    <x v="6"/>
    <n v="19"/>
    <x v="0"/>
    <n v="12"/>
    <x v="1"/>
    <x v="2"/>
    <n v="6778"/>
    <s v="RAM ProMaster"/>
    <n v="132"/>
    <n v="400"/>
    <n v="50"/>
    <n v="250"/>
    <n v="134"/>
    <n v="65"/>
    <n v="134"/>
    <n v="6"/>
    <x v="1"/>
    <n v="295.41000000000003"/>
    <n v="377"/>
    <n v="263.89999999999998"/>
    <n v="100"/>
    <n v="28"/>
    <n v="60"/>
    <n v="1622.9"/>
    <n v="881.14"/>
    <n v="1355.6000000000001"/>
    <n v="1152.26"/>
    <n v="1694.5"/>
    <n v="2033.3999999999999"/>
  </r>
  <r>
    <x v="6"/>
    <n v="19"/>
    <x v="0"/>
    <n v="13"/>
    <x v="0"/>
    <x v="3"/>
    <n v="6778"/>
    <s v="RAM ProMaster"/>
    <n v="132"/>
    <n v="400"/>
    <n v="50"/>
    <n v="250"/>
    <n v="134"/>
    <n v="65"/>
    <n v="134"/>
    <n v="6"/>
    <x v="2"/>
    <n v="295.41000000000003"/>
    <n v="377"/>
    <n v="263.89999999999998"/>
    <n v="100"/>
    <n v="28"/>
    <n v="60"/>
    <n v="1622.9"/>
    <n v="881.14"/>
    <n v="1355.6000000000001"/>
    <n v="1152.26"/>
    <n v="1694.5"/>
    <n v="2033.3999999999999"/>
  </r>
  <r>
    <x v="6"/>
    <n v="20"/>
    <x v="0"/>
    <n v="14"/>
    <x v="0"/>
    <x v="0"/>
    <n v="6778"/>
    <s v="RAM ProMaster"/>
    <n v="132"/>
    <n v="400"/>
    <n v="50"/>
    <n v="250"/>
    <n v="134"/>
    <n v="65"/>
    <n v="134"/>
    <n v="6"/>
    <x v="3"/>
    <n v="295.41000000000003"/>
    <n v="377"/>
    <n v="263.89999999999998"/>
    <n v="100"/>
    <n v="28"/>
    <n v="60"/>
    <n v="1622.9"/>
    <n v="881.14"/>
    <n v="1355.6000000000001"/>
    <n v="1152.26"/>
    <n v="1694.5"/>
    <n v="2033.3999999999999"/>
  </r>
  <r>
    <x v="6"/>
    <n v="21"/>
    <x v="0"/>
    <n v="15"/>
    <x v="0"/>
    <x v="4"/>
    <n v="6778"/>
    <s v="RAM ProMaster"/>
    <n v="132"/>
    <n v="400"/>
    <n v="50"/>
    <n v="250"/>
    <n v="134"/>
    <n v="65"/>
    <n v="134"/>
    <n v="6"/>
    <x v="0"/>
    <n v="295.41000000000003"/>
    <n v="377"/>
    <n v="263.89999999999998"/>
    <n v="100"/>
    <n v="28"/>
    <n v="60"/>
    <n v="1622.9"/>
    <n v="881.14"/>
    <n v="1355.6000000000001"/>
    <n v="1152.26"/>
    <n v="1694.5"/>
    <n v="2033.3999999999999"/>
  </r>
  <r>
    <x v="6"/>
    <n v="25"/>
    <x v="0"/>
    <n v="16"/>
    <x v="0"/>
    <x v="0"/>
    <n v="6778"/>
    <s v="RAM ProMaster"/>
    <n v="132"/>
    <n v="400"/>
    <n v="50"/>
    <n v="250"/>
    <n v="134"/>
    <n v="65"/>
    <n v="134"/>
    <n v="6"/>
    <x v="1"/>
    <n v="295.41000000000003"/>
    <n v="377"/>
    <n v="263.89999999999998"/>
    <n v="100"/>
    <n v="28"/>
    <n v="60"/>
    <n v="1622.9"/>
    <n v="881.14"/>
    <n v="1355.6000000000001"/>
    <n v="1152.26"/>
    <n v="1694.5"/>
    <n v="2033.3999999999999"/>
  </r>
  <r>
    <x v="6"/>
    <n v="7"/>
    <x v="0"/>
    <n v="23"/>
    <x v="1"/>
    <x v="1"/>
    <n v="6778"/>
    <s v="RAM ProMaster"/>
    <n v="132"/>
    <n v="400"/>
    <n v="50"/>
    <n v="250"/>
    <n v="134"/>
    <m/>
    <n v="134"/>
    <n v="6"/>
    <x v="2"/>
    <n v="295.41000000000003"/>
    <n v="377"/>
    <n v="263.89999999999998"/>
    <n v="100"/>
    <n v="28"/>
    <n v="60"/>
    <n v="1557.9"/>
    <n v="881.14"/>
    <n v="1355.6000000000001"/>
    <n v="1152.26"/>
    <n v="1694.5"/>
    <n v="2033.3999999999999"/>
  </r>
  <r>
    <x v="6"/>
    <n v="19"/>
    <x v="0"/>
    <n v="12"/>
    <x v="1"/>
    <x v="2"/>
    <n v="6778"/>
    <s v="RAM ProMaster"/>
    <n v="132"/>
    <n v="400"/>
    <n v="50"/>
    <n v="250"/>
    <n v="134"/>
    <n v="65"/>
    <n v="134"/>
    <n v="6"/>
    <x v="3"/>
    <n v="295.41000000000003"/>
    <n v="377"/>
    <n v="263.89999999999998"/>
    <n v="100"/>
    <n v="28"/>
    <n v="60"/>
    <n v="1622.9"/>
    <n v="881.14"/>
    <n v="1355.6000000000001"/>
    <n v="1152.26"/>
    <n v="1694.5"/>
    <n v="2033.3999999999999"/>
  </r>
  <r>
    <x v="6"/>
    <n v="19"/>
    <x v="0"/>
    <n v="13"/>
    <x v="0"/>
    <x v="3"/>
    <n v="6778"/>
    <s v="RAM ProMaster"/>
    <n v="132"/>
    <n v="400"/>
    <n v="50"/>
    <n v="250"/>
    <n v="134"/>
    <n v="65"/>
    <n v="134"/>
    <n v="6"/>
    <x v="0"/>
    <n v="295.41000000000003"/>
    <n v="377"/>
    <n v="263.89999999999998"/>
    <n v="100"/>
    <n v="28"/>
    <n v="60"/>
    <n v="1622.9"/>
    <n v="881.14"/>
    <n v="1355.6000000000001"/>
    <n v="1152.26"/>
    <n v="1694.5"/>
    <n v="2033.3999999999999"/>
  </r>
  <r>
    <x v="6"/>
    <n v="20"/>
    <x v="0"/>
    <n v="14"/>
    <x v="0"/>
    <x v="0"/>
    <n v="6778"/>
    <s v="RAM ProMaster"/>
    <n v="132"/>
    <n v="400"/>
    <n v="50"/>
    <n v="250"/>
    <n v="134"/>
    <n v="65"/>
    <n v="134"/>
    <n v="6"/>
    <x v="1"/>
    <n v="295.41000000000003"/>
    <n v="377"/>
    <n v="263.89999999999998"/>
    <n v="100"/>
    <n v="28"/>
    <n v="60"/>
    <n v="1622.9"/>
    <n v="881.14"/>
    <n v="1355.6000000000001"/>
    <n v="1152.26"/>
    <n v="1694.5"/>
    <n v="2033.3999999999999"/>
  </r>
  <r>
    <x v="6"/>
    <n v="21"/>
    <x v="0"/>
    <n v="15"/>
    <x v="0"/>
    <x v="4"/>
    <n v="6778"/>
    <s v="RAM ProMaster"/>
    <n v="132"/>
    <n v="400"/>
    <n v="50"/>
    <n v="250"/>
    <n v="134"/>
    <n v="65"/>
    <n v="134"/>
    <n v="6"/>
    <x v="2"/>
    <n v="295.41000000000003"/>
    <n v="377"/>
    <n v="263.89999999999998"/>
    <n v="100"/>
    <n v="28"/>
    <n v="60"/>
    <n v="1622.9"/>
    <n v="881.14"/>
    <n v="1355.6000000000001"/>
    <n v="1152.26"/>
    <n v="1694.5"/>
    <n v="2033.3999999999999"/>
  </r>
  <r>
    <x v="6"/>
    <n v="25"/>
    <x v="0"/>
    <n v="16"/>
    <x v="0"/>
    <x v="0"/>
    <n v="6778"/>
    <s v="RAM ProMaster"/>
    <n v="132"/>
    <n v="400"/>
    <n v="50"/>
    <n v="250"/>
    <n v="134"/>
    <n v="65"/>
    <n v="134"/>
    <n v="6"/>
    <x v="3"/>
    <n v="295.41000000000003"/>
    <n v="377"/>
    <n v="263.89999999999998"/>
    <n v="100"/>
    <n v="28"/>
    <n v="60"/>
    <n v="1622.9"/>
    <n v="881.14"/>
    <n v="1355.6000000000001"/>
    <n v="1152.26"/>
    <n v="1694.5"/>
    <n v="2033.3999999999999"/>
  </r>
  <r>
    <x v="7"/>
    <n v="8"/>
    <x v="1"/>
    <n v="17"/>
    <x v="0"/>
    <x v="6"/>
    <n v="6543"/>
    <s v="RAM ProMaster"/>
    <n v="132"/>
    <n v="400"/>
    <n v="50"/>
    <n v="250"/>
    <n v="121"/>
    <m/>
    <n v="51"/>
    <n v="51"/>
    <x v="0"/>
    <n v="295.41000000000003"/>
    <n v="389"/>
    <n v="272.29999999999995"/>
    <n v="100"/>
    <n v="29"/>
    <n v="61"/>
    <n v="1517.3"/>
    <n v="850.59"/>
    <n v="1308.6000000000001"/>
    <n v="1112.3100000000002"/>
    <n v="1635.75"/>
    <n v="1962.8999999999999"/>
  </r>
  <r>
    <x v="7"/>
    <n v="20"/>
    <x v="1"/>
    <n v="18"/>
    <x v="0"/>
    <x v="4"/>
    <n v="6543"/>
    <s v="RAM ProMaster"/>
    <n v="132"/>
    <n v="400"/>
    <n v="50"/>
    <n v="250"/>
    <n v="121"/>
    <m/>
    <n v="51"/>
    <n v="51"/>
    <x v="1"/>
    <n v="295.41000000000003"/>
    <n v="389"/>
    <n v="272.29999999999995"/>
    <n v="100"/>
    <n v="29"/>
    <n v="61"/>
    <n v="1517.3"/>
    <n v="850.59"/>
    <n v="1308.6000000000001"/>
    <n v="1112.3100000000002"/>
    <n v="1635.75"/>
    <n v="1962.8999999999999"/>
  </r>
  <r>
    <x v="7"/>
    <n v="22"/>
    <x v="1"/>
    <n v="12.9"/>
    <x v="0"/>
    <x v="1"/>
    <n v="6543"/>
    <s v="RAM ProMaster"/>
    <n v="132"/>
    <n v="400"/>
    <n v="50"/>
    <n v="250"/>
    <n v="121"/>
    <n v="33"/>
    <n v="51"/>
    <n v="51"/>
    <x v="2"/>
    <n v="295.41000000000003"/>
    <n v="389"/>
    <n v="272.29999999999995"/>
    <n v="100"/>
    <n v="29"/>
    <n v="61"/>
    <n v="1550.3"/>
    <n v="850.59"/>
    <n v="1308.6000000000001"/>
    <n v="1112.3100000000002"/>
    <n v="1635.75"/>
    <n v="1962.8999999999999"/>
  </r>
  <r>
    <x v="7"/>
    <n v="23"/>
    <x v="1"/>
    <n v="12.9"/>
    <x v="0"/>
    <x v="2"/>
    <n v="6543"/>
    <s v="RAM ProMaster"/>
    <n v="132"/>
    <n v="400"/>
    <n v="50"/>
    <n v="250"/>
    <n v="121"/>
    <n v="33"/>
    <n v="51"/>
    <n v="51"/>
    <x v="3"/>
    <n v="295.41000000000003"/>
    <n v="389"/>
    <n v="272.29999999999995"/>
    <n v="100"/>
    <n v="29"/>
    <n v="61"/>
    <n v="1550.3"/>
    <n v="850.59"/>
    <n v="1308.6000000000001"/>
    <n v="1112.3100000000002"/>
    <n v="1635.75"/>
    <n v="1962.8999999999999"/>
  </r>
  <r>
    <x v="8"/>
    <n v="25"/>
    <x v="0"/>
    <n v="12.9"/>
    <x v="0"/>
    <x v="2"/>
    <n v="8633"/>
    <s v="RAM ProMaster"/>
    <n v="132"/>
    <n v="400"/>
    <n v="50"/>
    <n v="250"/>
    <n v="134"/>
    <m/>
    <n v="134"/>
    <n v="6"/>
    <x v="2"/>
    <n v="295.41000000000003"/>
    <n v="234"/>
    <n v="163.79999999999998"/>
    <n v="100"/>
    <n v="23"/>
    <n v="55"/>
    <n v="1447.8"/>
    <n v="1122.29"/>
    <n v="1726.6000000000001"/>
    <n v="1467.6100000000001"/>
    <n v="2158.25"/>
    <n v="2589.9"/>
  </r>
  <r>
    <x v="8"/>
    <n v="26"/>
    <x v="0"/>
    <n v="18"/>
    <x v="0"/>
    <x v="3"/>
    <n v="8633"/>
    <s v="RAM ProMaster"/>
    <n v="132"/>
    <n v="400"/>
    <n v="50"/>
    <n v="250"/>
    <n v="134"/>
    <m/>
    <n v="134"/>
    <n v="6"/>
    <x v="2"/>
    <n v="295.41000000000003"/>
    <n v="234"/>
    <n v="163.79999999999998"/>
    <n v="100"/>
    <n v="23"/>
    <n v="55"/>
    <n v="1447.8"/>
    <n v="1122.29"/>
    <n v="1726.6000000000001"/>
    <n v="1467.6100000000001"/>
    <n v="2158.25"/>
    <n v="2589.9"/>
  </r>
  <r>
    <x v="8"/>
    <n v="27"/>
    <x v="0"/>
    <n v="19"/>
    <x v="0"/>
    <x v="0"/>
    <n v="8633"/>
    <s v="RAM ProMaster"/>
    <n v="132"/>
    <n v="400"/>
    <n v="50"/>
    <n v="250"/>
    <n v="134"/>
    <m/>
    <n v="134"/>
    <n v="6"/>
    <x v="2"/>
    <n v="295.41000000000003"/>
    <n v="234"/>
    <n v="163.79999999999998"/>
    <n v="100"/>
    <n v="23"/>
    <n v="55"/>
    <n v="1447.8"/>
    <n v="1122.29"/>
    <n v="1726.6000000000001"/>
    <n v="1467.6100000000001"/>
    <n v="2158.25"/>
    <n v="2589.9"/>
  </r>
  <r>
    <x v="8"/>
    <n v="27"/>
    <x v="0"/>
    <n v="20"/>
    <x v="0"/>
    <x v="0"/>
    <n v="8633"/>
    <s v="RAM ProMaster"/>
    <n v="132"/>
    <n v="400"/>
    <n v="50"/>
    <n v="250"/>
    <n v="134"/>
    <m/>
    <n v="134"/>
    <n v="6"/>
    <x v="2"/>
    <n v="295.41000000000003"/>
    <n v="234"/>
    <n v="163.79999999999998"/>
    <n v="100"/>
    <n v="23"/>
    <n v="55"/>
    <n v="1447.8"/>
    <n v="1122.29"/>
    <n v="1726.6000000000001"/>
    <n v="1467.6100000000001"/>
    <n v="2158.25"/>
    <n v="2589.9"/>
  </r>
  <r>
    <x v="9"/>
    <n v="1"/>
    <x v="0"/>
    <n v="21"/>
    <x v="0"/>
    <x v="0"/>
    <n v="5556"/>
    <s v="Freightliner Sprinter"/>
    <n v="132"/>
    <n v="400"/>
    <n v="50"/>
    <n v="250"/>
    <n v="120"/>
    <n v="65"/>
    <n v="134"/>
    <n v="6"/>
    <x v="0"/>
    <n v="295.41000000000003"/>
    <n v="343"/>
    <n v="240.1"/>
    <n v="100"/>
    <n v="22"/>
    <n v="54"/>
    <n v="1573.1"/>
    <n v="722.28"/>
    <n v="1111.2"/>
    <n v="944.5200000000001"/>
    <n v="1389"/>
    <n v="1666.8"/>
  </r>
  <r>
    <x v="9"/>
    <n v="2"/>
    <x v="0"/>
    <n v="22"/>
    <x v="0"/>
    <x v="0"/>
    <n v="5556"/>
    <s v="Freightliner Sprinter"/>
    <n v="132"/>
    <n v="400"/>
    <n v="50"/>
    <n v="250"/>
    <n v="120"/>
    <n v="65"/>
    <n v="134"/>
    <n v="6"/>
    <x v="0"/>
    <n v="295.41000000000003"/>
    <n v="343"/>
    <n v="240.1"/>
    <n v="100"/>
    <n v="22"/>
    <n v="54"/>
    <n v="1573.1"/>
    <n v="722.28"/>
    <n v="1111.2"/>
    <n v="944.5200000000001"/>
    <n v="1389"/>
    <n v="1666.8"/>
  </r>
  <r>
    <x v="9"/>
    <n v="10"/>
    <x v="0"/>
    <n v="23"/>
    <x v="0"/>
    <x v="0"/>
    <n v="6433"/>
    <s v="Chevrolet Express"/>
    <n v="132"/>
    <n v="399"/>
    <n v="50"/>
    <n v="250"/>
    <n v="134"/>
    <m/>
    <n v="134"/>
    <n v="6"/>
    <x v="1"/>
    <n v="295.41000000000003"/>
    <n v="343"/>
    <n v="240.1"/>
    <n v="100"/>
    <n v="25"/>
    <n v="57"/>
    <n v="1527.1"/>
    <n v="836.29000000000008"/>
    <n v="1286.6000000000001"/>
    <n v="1093.6100000000001"/>
    <n v="1608.25"/>
    <n v="1929.8999999999999"/>
  </r>
  <r>
    <x v="9"/>
    <n v="10"/>
    <x v="1"/>
    <n v="12.9"/>
    <x v="0"/>
    <x v="0"/>
    <n v="3456"/>
    <s v="Nissan NV2500"/>
    <n v="132"/>
    <n v="400"/>
    <n v="50"/>
    <n v="250"/>
    <n v="128"/>
    <n v="65"/>
    <n v="134"/>
    <n v="6"/>
    <x v="3"/>
    <n v="295.41000000000003"/>
    <n v="343"/>
    <n v="240.1"/>
    <n v="100"/>
    <n v="24"/>
    <n v="56"/>
    <n v="1585.1"/>
    <n v="449.28000000000003"/>
    <n v="691.2"/>
    <n v="587.5200000000001"/>
    <n v="864"/>
    <n v="1036.8"/>
  </r>
  <r>
    <x v="9"/>
    <n v="11"/>
    <x v="0"/>
    <n v="13"/>
    <x v="0"/>
    <x v="0"/>
    <n v="6433"/>
    <s v="Chevrolet Express"/>
    <n v="132"/>
    <n v="399"/>
    <n v="50"/>
    <n v="250"/>
    <n v="134"/>
    <m/>
    <n v="134"/>
    <n v="6"/>
    <x v="1"/>
    <n v="295.41000000000003"/>
    <n v="343"/>
    <n v="240.1"/>
    <n v="100"/>
    <n v="25"/>
    <n v="57"/>
    <n v="1527.1"/>
    <n v="836.29000000000008"/>
    <n v="1286.6000000000001"/>
    <n v="1093.6100000000001"/>
    <n v="1608.25"/>
    <n v="1929.8999999999999"/>
  </r>
  <r>
    <x v="9"/>
    <n v="28"/>
    <x v="1"/>
    <n v="14"/>
    <x v="0"/>
    <x v="0"/>
    <n v="3456"/>
    <s v="Nissan NV2500"/>
    <n v="132"/>
    <n v="400"/>
    <n v="50"/>
    <n v="250"/>
    <n v="128"/>
    <m/>
    <n v="134"/>
    <n v="6"/>
    <x v="3"/>
    <n v="295.41000000000003"/>
    <n v="343"/>
    <n v="240.1"/>
    <n v="100"/>
    <n v="24"/>
    <n v="56"/>
    <n v="1520.1"/>
    <n v="449.28000000000003"/>
    <n v="691.2"/>
    <n v="587.5200000000001"/>
    <n v="864"/>
    <n v="1036.8"/>
  </r>
  <r>
    <x v="9"/>
    <n v="28"/>
    <x v="1"/>
    <n v="15"/>
    <x v="0"/>
    <x v="0"/>
    <n v="3456"/>
    <s v="Nissan NV2500"/>
    <n v="132"/>
    <n v="400"/>
    <n v="50"/>
    <n v="250"/>
    <n v="128"/>
    <m/>
    <n v="134"/>
    <n v="6"/>
    <x v="3"/>
    <n v="295.41000000000003"/>
    <n v="343"/>
    <n v="240.1"/>
    <n v="100"/>
    <n v="24"/>
    <n v="56"/>
    <n v="1520.1"/>
    <n v="449.28000000000003"/>
    <n v="691.2"/>
    <n v="587.5200000000001"/>
    <n v="864"/>
    <n v="1036.8"/>
  </r>
  <r>
    <x v="9"/>
    <n v="29"/>
    <x v="1"/>
    <n v="16"/>
    <x v="0"/>
    <x v="0"/>
    <n v="3456"/>
    <s v="Nissan NV2500"/>
    <n v="132"/>
    <n v="400"/>
    <n v="50"/>
    <n v="250"/>
    <n v="128"/>
    <m/>
    <n v="134"/>
    <n v="6"/>
    <x v="3"/>
    <n v="295.41000000000003"/>
    <n v="343"/>
    <n v="240.1"/>
    <n v="100"/>
    <n v="24"/>
    <n v="56"/>
    <n v="1520.1"/>
    <n v="449.28000000000003"/>
    <n v="691.2"/>
    <n v="587.5200000000001"/>
    <n v="864"/>
    <n v="1036.8"/>
  </r>
  <r>
    <x v="9"/>
    <n v="1"/>
    <x v="0"/>
    <n v="21"/>
    <x v="0"/>
    <x v="0"/>
    <n v="5556"/>
    <s v="Freightliner Sprinter"/>
    <n v="132"/>
    <n v="400"/>
    <n v="50"/>
    <n v="250"/>
    <n v="120"/>
    <n v="65"/>
    <n v="134"/>
    <n v="6"/>
    <x v="0"/>
    <n v="295.41000000000003"/>
    <n v="343"/>
    <n v="240.1"/>
    <n v="100"/>
    <n v="22"/>
    <n v="54"/>
    <n v="1573.1"/>
    <n v="722.28"/>
    <n v="1111.2"/>
    <n v="944.5200000000001"/>
    <n v="1389"/>
    <n v="1666.8"/>
  </r>
  <r>
    <x v="9"/>
    <n v="2"/>
    <x v="0"/>
    <n v="22"/>
    <x v="0"/>
    <x v="0"/>
    <n v="5556"/>
    <s v="Freightliner Sprinter"/>
    <n v="132"/>
    <n v="400"/>
    <n v="50"/>
    <n v="250"/>
    <n v="120"/>
    <n v="65"/>
    <n v="134"/>
    <n v="6"/>
    <x v="0"/>
    <n v="295.41000000000003"/>
    <n v="343"/>
    <n v="240.1"/>
    <n v="100"/>
    <n v="22"/>
    <n v="54"/>
    <n v="1573.1"/>
    <n v="722.28"/>
    <n v="1111.2"/>
    <n v="944.5200000000001"/>
    <n v="1389"/>
    <n v="1666.8"/>
  </r>
  <r>
    <x v="10"/>
    <n v="29"/>
    <x v="2"/>
    <n v="18"/>
    <x v="0"/>
    <x v="0"/>
    <n v="4782"/>
    <s v="Nissan NV2500"/>
    <n v="132"/>
    <n v="400"/>
    <n v="50"/>
    <n v="250"/>
    <n v="120"/>
    <n v="65"/>
    <n v="134"/>
    <n v="6"/>
    <x v="3"/>
    <n v="295.41000000000003"/>
    <n v="399"/>
    <n v="279.29999999999995"/>
    <n v="100"/>
    <n v="25"/>
    <n v="57"/>
    <n v="1618.3"/>
    <n v="621.66"/>
    <n v="956.40000000000009"/>
    <n v="812.94"/>
    <n v="1195.5"/>
    <n v="1434.6"/>
  </r>
  <r>
    <x v="10"/>
    <n v="11"/>
    <x v="2"/>
    <n v="17"/>
    <x v="0"/>
    <x v="0"/>
    <n v="4782"/>
    <s v="Nissan NV2500"/>
    <n v="132"/>
    <n v="400"/>
    <n v="50"/>
    <n v="250"/>
    <n v="120"/>
    <n v="65"/>
    <n v="134"/>
    <n v="6"/>
    <x v="3"/>
    <n v="295.41000000000003"/>
    <n v="399"/>
    <n v="279.29999999999995"/>
    <n v="100"/>
    <n v="25"/>
    <n v="57"/>
    <n v="1618.3"/>
    <n v="621.66"/>
    <n v="956.40000000000009"/>
    <n v="812.94"/>
    <n v="1195.5"/>
    <n v="1434.6"/>
  </r>
  <r>
    <x v="10"/>
    <n v="23"/>
    <x v="2"/>
    <n v="18"/>
    <x v="0"/>
    <x v="0"/>
    <n v="4782"/>
    <s v="Nissan NV2500"/>
    <n v="132"/>
    <n v="400"/>
    <n v="50"/>
    <n v="250"/>
    <n v="120"/>
    <n v="65"/>
    <n v="134"/>
    <n v="6"/>
    <x v="3"/>
    <n v="295.41000000000003"/>
    <n v="399"/>
    <n v="279.29999999999995"/>
    <n v="100"/>
    <n v="25"/>
    <n v="57"/>
    <n v="1618.3"/>
    <n v="621.66"/>
    <n v="956.40000000000009"/>
    <n v="812.94"/>
    <n v="1195.5"/>
    <n v="1434.6"/>
  </r>
  <r>
    <x v="10"/>
    <n v="23"/>
    <x v="2"/>
    <n v="18"/>
    <x v="0"/>
    <x v="0"/>
    <n v="4782"/>
    <s v="Nissan NV2500"/>
    <n v="132"/>
    <n v="400"/>
    <n v="50"/>
    <n v="250"/>
    <n v="120"/>
    <n v="65"/>
    <n v="134"/>
    <n v="6"/>
    <x v="3"/>
    <n v="295.41000000000003"/>
    <n v="399"/>
    <n v="279.29999999999995"/>
    <n v="100"/>
    <n v="25"/>
    <n v="57"/>
    <n v="1618.3"/>
    <n v="621.66"/>
    <n v="956.40000000000009"/>
    <n v="812.94"/>
    <n v="1195.5"/>
    <n v="1434.6"/>
  </r>
  <r>
    <x v="10"/>
    <n v="29"/>
    <x v="2"/>
    <n v="18"/>
    <x v="0"/>
    <x v="0"/>
    <n v="4782"/>
    <s v="Nissan NV2500"/>
    <n v="132"/>
    <n v="400"/>
    <n v="50"/>
    <n v="250"/>
    <n v="120"/>
    <n v="65"/>
    <n v="134"/>
    <n v="6"/>
    <x v="3"/>
    <n v="295.41000000000003"/>
    <n v="399"/>
    <n v="279.29999999999995"/>
    <n v="100"/>
    <n v="25"/>
    <n v="57"/>
    <n v="1618.3"/>
    <n v="621.66"/>
    <n v="956.40000000000009"/>
    <n v="812.94"/>
    <n v="1195.5"/>
    <n v="1434.6"/>
  </r>
  <r>
    <x v="11"/>
    <n v="12"/>
    <x v="0"/>
    <n v="12.9"/>
    <x v="0"/>
    <x v="0"/>
    <n v="5287"/>
    <s v="Nissan NV2500"/>
    <n v="132"/>
    <n v="400"/>
    <n v="50"/>
    <n v="250"/>
    <n v="134"/>
    <m/>
    <n v="134"/>
    <n v="6"/>
    <x v="3"/>
    <n v="295.41000000000003"/>
    <n v="343"/>
    <n v="240.1"/>
    <n v="100"/>
    <n v="26"/>
    <n v="58"/>
    <n v="1530.1"/>
    <n v="687.31000000000006"/>
    <n v="1057.4000000000001"/>
    <n v="898.79000000000008"/>
    <n v="1321.75"/>
    <n v="1586.1"/>
  </r>
  <r>
    <x v="11"/>
    <n v="24"/>
    <x v="0"/>
    <n v="18"/>
    <x v="0"/>
    <x v="0"/>
    <n v="5287"/>
    <s v="Nissan NV2500"/>
    <n v="132"/>
    <n v="400"/>
    <n v="50"/>
    <n v="250"/>
    <n v="134"/>
    <m/>
    <n v="134"/>
    <n v="6"/>
    <x v="3"/>
    <n v="295.41000000000003"/>
    <n v="343"/>
    <n v="240.1"/>
    <n v="100"/>
    <n v="26"/>
    <n v="58"/>
    <n v="1530.1"/>
    <n v="687.31000000000006"/>
    <n v="1057.4000000000001"/>
    <n v="898.79000000000008"/>
    <n v="1321.75"/>
    <n v="1586.1"/>
  </r>
  <r>
    <x v="11"/>
    <n v="25"/>
    <x v="0"/>
    <n v="18"/>
    <x v="0"/>
    <x v="0"/>
    <n v="5287"/>
    <s v="Nissan NV2500"/>
    <n v="132"/>
    <n v="400"/>
    <n v="50"/>
    <n v="250"/>
    <n v="134"/>
    <m/>
    <n v="134"/>
    <n v="6"/>
    <x v="3"/>
    <n v="295.41000000000003"/>
    <n v="343"/>
    <n v="240.1"/>
    <n v="100"/>
    <n v="26"/>
    <n v="58"/>
    <n v="1530.1"/>
    <n v="687.31000000000006"/>
    <n v="1057.4000000000001"/>
    <n v="898.79000000000008"/>
    <n v="1321.75"/>
    <n v="158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941D93-8455-CA43-80C2-928969505264}"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L10:BN14" firstHeaderRow="0" firstDataRow="1" firstDataCol="1"/>
  <pivotFields count="30">
    <pivotField showAll="0">
      <items count="13">
        <item x="0"/>
        <item x="1"/>
        <item x="2"/>
        <item x="3"/>
        <item x="4"/>
        <item x="5"/>
        <item x="6"/>
        <item x="7"/>
        <item x="8"/>
        <item x="9"/>
        <item x="10"/>
        <item x="11"/>
        <item t="default"/>
      </items>
    </pivotField>
    <pivotField numFmtId="1" showAll="0"/>
    <pivotField axis="axisRow" dataField="1" showAll="0">
      <items count="4">
        <item x="2"/>
        <item x="1"/>
        <item x="0"/>
        <item t="default"/>
      </items>
    </pivotField>
    <pivotField dataField="1" numFmtId="167" showAll="0"/>
    <pivotField showAll="0"/>
    <pivotField showAll="0">
      <items count="9">
        <item x="4"/>
        <item x="1"/>
        <item x="2"/>
        <item x="3"/>
        <item x="6"/>
        <item x="0"/>
        <item m="1" x="7"/>
        <item x="5"/>
        <item t="default"/>
      </items>
    </pivotField>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2"/>
  </rowFields>
  <rowItems count="4">
    <i>
      <x/>
    </i>
    <i>
      <x v="1"/>
    </i>
    <i>
      <x v="2"/>
    </i>
    <i t="grand">
      <x/>
    </i>
  </rowItems>
  <colFields count="1">
    <field x="-2"/>
  </colFields>
  <colItems count="2">
    <i>
      <x/>
    </i>
    <i i="1">
      <x v="1"/>
    </i>
  </colItems>
  <dataFields count="2">
    <dataField name="Count of Load" fld="2" subtotal="count" baseField="0" baseItem="0"/>
    <dataField name="Sum of Tonnage" fld="3" baseField="0" baseItem="0" numFmtId="168"/>
  </dataFields>
  <formats count="22">
    <format dxfId="3">
      <pivotArea outline="0" collapsedLevelsAreSubtotals="1" fieldPosition="0"/>
    </format>
    <format dxfId="4">
      <pivotArea outline="0" collapsedLevelsAreSubtotals="1" fieldPosition="0"/>
    </format>
    <format dxfId="5">
      <pivotArea outline="0" collapsedLevelsAreSubtotals="1" fieldPosition="0"/>
    </format>
    <format dxfId="6">
      <pivotArea outline="0" collapsedLevelsAreSubtotals="1" fieldPosition="0"/>
    </format>
    <format dxfId="7">
      <pivotArea outline="0" collapsedLevelsAreSubtotals="1" fieldPosition="0"/>
    </format>
    <format dxfId="8">
      <pivotArea type="all" dataOnly="0" outline="0" fieldPosition="0"/>
    </format>
    <format dxfId="9">
      <pivotArea outline="0" collapsedLevelsAreSubtotals="1" fieldPosition="0"/>
    </format>
    <format dxfId="10">
      <pivotArea type="all" dataOnly="0" outline="0" fieldPosition="0"/>
    </format>
    <format dxfId="11">
      <pivotArea outline="0" collapsedLevelsAreSubtotals="1" fieldPosition="0"/>
    </format>
    <format dxfId="12">
      <pivotArea field="5" type="button" dataOnly="0" labelOnly="1" outline="0"/>
    </format>
    <format dxfId="13">
      <pivotArea dataOnly="0" labelOnly="1" grandRow="1" outline="0" fieldPosition="0"/>
    </format>
    <format dxfId="14">
      <pivotArea dataOnly="0" labelOnly="1" outline="0" axis="axisValues" fieldPosition="0"/>
    </format>
    <format dxfId="15">
      <pivotArea type="all" dataOnly="0" outline="0" fieldPosition="0"/>
    </format>
    <format dxfId="16">
      <pivotArea outline="0" collapsedLevelsAreSubtotals="1" fieldPosition="0"/>
    </format>
    <format dxfId="17">
      <pivotArea field="5" type="button" dataOnly="0" labelOnly="1" outline="0"/>
    </format>
    <format dxfId="18">
      <pivotArea dataOnly="0" labelOnly="1" grandRow="1" outline="0" fieldPosition="0"/>
    </format>
    <format dxfId="19">
      <pivotArea dataOnly="0" labelOnly="1" outline="0" axis="axisValues" fieldPosition="0"/>
    </format>
    <format dxfId="20">
      <pivotArea dataOnly="0" labelOnly="1" outline="0" axis="axisValues" fieldPosition="0"/>
    </format>
    <format dxfId="21">
      <pivotArea outline="0" collapsedLevelsAreSubtotals="1" fieldPosition="0"/>
    </format>
    <format dxfId="2">
      <pivotArea collapsedLevelsAreSubtotals="1" fieldPosition="0">
        <references count="2">
          <reference field="4294967294" count="1" selected="0">
            <x v="0"/>
          </reference>
          <reference field="2" count="0"/>
        </references>
      </pivotArea>
    </format>
    <format dxfId="1">
      <pivotArea outline="0" collapsedLevelsAreSubtotals="1" fieldPosition="0"/>
    </format>
    <format dxfId="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A9BC07-5A57-394D-870D-E875DC787048}"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Q10:T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dataField="1" numFmtId="165" showAll="0"/>
    <pivotField dataField="1" numFmtId="165" showAll="0"/>
    <pivotField dataField="1" numFmtId="165" showAll="0"/>
    <pivotField dataField="1"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Items count="1">
    <i/>
  </rowItems>
  <colFields count="1">
    <field x="-2"/>
  </colFields>
  <colItems count="4">
    <i>
      <x/>
    </i>
    <i i="1">
      <x v="1"/>
    </i>
    <i i="2">
      <x v="2"/>
    </i>
    <i i="3">
      <x v="3"/>
    </i>
  </colItems>
  <dataFields count="4">
    <dataField name="Sum of Insurance" fld="8" baseField="0" baseItem="0"/>
    <dataField name="Sum of Fuel" fld="9" baseField="0" baseItem="0"/>
    <dataField name="Sum of Diesel Exhaust Fluid" fld="10" baseField="0" baseItem="0"/>
    <dataField name="Sum of Advance" fld="11" baseField="0" baseItem="0"/>
  </dataFields>
  <formats count="14">
    <format dxfId="35">
      <pivotArea outline="0" collapsedLevelsAreSubtotals="1" fieldPosition="0"/>
    </format>
    <format dxfId="34">
      <pivotArea outline="0" collapsedLevelsAreSubtotals="1" fieldPosition="0"/>
    </format>
    <format dxfId="33">
      <pivotArea outline="0" collapsedLevelsAreSubtotals="1" fieldPosition="0"/>
    </format>
    <format dxfId="32">
      <pivotArea outline="0" collapsedLevelsAreSubtotals="1" fieldPosition="0"/>
    </format>
    <format dxfId="31">
      <pivotArea dataOnly="0" labelOnly="1" grandRow="1" outline="0" fieldPosition="0"/>
    </format>
    <format dxfId="30">
      <pivotArea outline="0" collapsedLevelsAreSubtotals="1" fieldPosition="0"/>
    </format>
    <format dxfId="29">
      <pivotArea dataOnly="0" labelOnly="1" grandRow="1" outline="0" fieldPosition="0"/>
    </format>
    <format dxfId="28">
      <pivotArea dataOnly="0" labelOnly="1" outline="0" fieldPosition="0">
        <references count="1">
          <reference field="4294967294" count="4">
            <x v="0"/>
            <x v="1"/>
            <x v="2"/>
            <x v="3"/>
          </reference>
        </references>
      </pivotArea>
    </format>
    <format dxfId="27">
      <pivotArea dataOnly="0" labelOnly="1" outline="0" fieldPosition="0">
        <references count="1">
          <reference field="4294967294" count="4">
            <x v="0"/>
            <x v="1"/>
            <x v="2"/>
            <x v="3"/>
          </reference>
        </references>
      </pivotArea>
    </format>
    <format dxfId="26">
      <pivotArea dataOnly="0" labelOnly="1" outline="0" fieldPosition="0">
        <references count="1">
          <reference field="4294967294" count="4">
            <x v="0"/>
            <x v="1"/>
            <x v="2"/>
            <x v="3"/>
          </reference>
        </references>
      </pivotArea>
    </format>
    <format dxfId="25">
      <pivotArea dataOnly="0" labelOnly="1" outline="0" fieldPosition="0">
        <references count="1">
          <reference field="4294967294" count="4">
            <x v="0"/>
            <x v="1"/>
            <x v="2"/>
            <x v="3"/>
          </reference>
        </references>
      </pivotArea>
    </format>
    <format dxfId="24">
      <pivotArea type="all" dataOnly="0" outline="0" fieldPosition="0"/>
    </format>
    <format dxfId="23">
      <pivotArea dataOnly="0" labelOnly="1" outline="0" fieldPosition="0">
        <references count="1">
          <reference field="4294967294" count="4">
            <x v="0"/>
            <x v="1"/>
            <x v="2"/>
            <x v="3"/>
          </reference>
        </references>
      </pivotArea>
    </format>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E457AB-6153-9C4A-8B49-1968727E9110}"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0:D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dataField="1"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dataField="1" numFmtId="165" showAll="0"/>
    <pivotField numFmtId="165" showAll="0"/>
    <pivotField numFmtId="165" showAll="0"/>
    <pivotField numFmtId="165" showAll="0"/>
    <pivotField numFmtId="165" showAll="0"/>
    <pivotField numFmtId="165" showAll="0"/>
    <pivotField dataField="1" dragToRow="0" dragToCol="0" dragToPage="0" showAll="0" defaultSubtotal="0"/>
  </pivotFields>
  <rowItems count="1">
    <i/>
  </rowItems>
  <colFields count="1">
    <field x="-2"/>
  </colFields>
  <colItems count="3">
    <i>
      <x/>
    </i>
    <i i="1">
      <x v="1"/>
    </i>
    <i i="2">
      <x v="2"/>
    </i>
  </colItems>
  <dataFields count="3">
    <dataField name="Sum of Rate" fld="6" baseField="0" baseItem="0"/>
    <dataField name="Sum of Total Expenses" fld="23" baseField="0" baseItem="0"/>
    <dataField name="Sum of Balance" fld="29" baseField="0" baseItem="0" numFmtId="165"/>
  </dataFields>
  <formats count="10">
    <format dxfId="45">
      <pivotArea outline="0" collapsedLevelsAreSubtotals="1" fieldPosition="0"/>
    </format>
    <format dxfId="44">
      <pivotArea outline="0" collapsedLevelsAreSubtotals="1" fieldPosition="0"/>
    </format>
    <format dxfId="43">
      <pivotArea dataOnly="0" outline="0" fieldPosition="0">
        <references count="1">
          <reference field="4294967294" count="3">
            <x v="0"/>
            <x v="1"/>
            <x v="2"/>
          </reference>
        </references>
      </pivotArea>
    </format>
    <format dxfId="42">
      <pivotArea outline="0" collapsedLevelsAreSubtotals="1" fieldPosition="0"/>
    </format>
    <format dxfId="41">
      <pivotArea outline="0" collapsedLevelsAreSubtotals="1" fieldPosition="0"/>
    </format>
    <format dxfId="40">
      <pivotArea outline="0" collapsedLevelsAreSubtotals="1" fieldPosition="0"/>
    </format>
    <format dxfId="39">
      <pivotArea dataOnly="0" labelOnly="1" outline="0" fieldPosition="0">
        <references count="1">
          <reference field="4294967294" count="3">
            <x v="0"/>
            <x v="1"/>
            <x v="2"/>
          </reference>
        </references>
      </pivotArea>
    </format>
    <format dxfId="38">
      <pivotArea dataOnly="0" labelOnly="1" outline="0" fieldPosition="0">
        <references count="1">
          <reference field="4294967294" count="3">
            <x v="0"/>
            <x v="1"/>
            <x v="2"/>
          </reference>
        </references>
      </pivotArea>
    </format>
    <format dxfId="37">
      <pivotArea dataOnly="0" labelOnly="1" outline="0" fieldPosition="0">
        <references count="1">
          <reference field="4294967294" count="3">
            <x v="0"/>
            <x v="1"/>
            <x v="2"/>
          </reference>
        </references>
      </pivotArea>
    </format>
    <format dxfId="36">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BCE951-8AD3-EE41-8E4A-426261C2C854}"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C10:AC23" firstHeaderRow="1" firstDataRow="1" firstDataCol="1"/>
  <pivotFields count="30">
    <pivotField axis="axisRow"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0"/>
  </rowFields>
  <rowItems count="13">
    <i>
      <x/>
    </i>
    <i>
      <x v="1"/>
    </i>
    <i>
      <x v="2"/>
    </i>
    <i>
      <x v="3"/>
    </i>
    <i>
      <x v="4"/>
    </i>
    <i>
      <x v="5"/>
    </i>
    <i>
      <x v="6"/>
    </i>
    <i>
      <x v="7"/>
    </i>
    <i>
      <x v="8"/>
    </i>
    <i>
      <x v="9"/>
    </i>
    <i>
      <x v="10"/>
    </i>
    <i>
      <x v="11"/>
    </i>
    <i t="grand">
      <x/>
    </i>
  </rowItems>
  <colItems count="1">
    <i/>
  </colItems>
  <formats count="12">
    <format dxfId="57">
      <pivotArea outline="0" collapsedLevelsAreSubtotals="1" fieldPosition="0"/>
    </format>
    <format dxfId="56">
      <pivotArea outline="0" collapsedLevelsAreSubtotals="1" fieldPosition="0"/>
    </format>
    <format dxfId="55">
      <pivotArea outline="0" collapsedLevelsAreSubtotals="1" fieldPosition="0"/>
    </format>
    <format dxfId="54">
      <pivotArea outline="0" collapsedLevelsAreSubtotals="1" fieldPosition="0"/>
    </format>
    <format dxfId="53">
      <pivotArea dataOnly="0" labelOnly="1" grandRow="1" outline="0" fieldPosition="0"/>
    </format>
    <format dxfId="52">
      <pivotArea outline="0" collapsedLevelsAreSubtotals="1" fieldPosition="0"/>
    </format>
    <format dxfId="51">
      <pivotArea dataOnly="0" labelOnly="1" grandRow="1" outline="0" fieldPosition="0"/>
    </format>
    <format dxfId="50">
      <pivotArea type="all" dataOnly="0" outline="0" fieldPosition="0"/>
    </format>
    <format dxfId="49">
      <pivotArea outline="0" collapsedLevelsAreSubtotals="1" fieldPosition="0"/>
    </format>
    <format dxfId="48">
      <pivotArea dataOnly="0" labelOnly="1" fieldPosition="0">
        <references count="1">
          <reference field="0" count="0"/>
        </references>
      </pivotArea>
    </format>
    <format dxfId="47">
      <pivotArea field="0" type="button" dataOnly="0" labelOnly="1" outline="0" axis="axisRow" fieldPosition="0"/>
    </format>
    <format dxfId="46">
      <pivotArea dataOnly="0" labelOnly="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B80BCBD-3649-7944-BC7A-3993DEA87CB2}"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L10:M13" firstHeaderRow="1" firstDataRow="1" firstDataCol="1"/>
  <pivotFields count="30">
    <pivotField showAll="0">
      <items count="13">
        <item x="0"/>
        <item x="1"/>
        <item x="2"/>
        <item x="3"/>
        <item x="4"/>
        <item x="5"/>
        <item x="6"/>
        <item x="7"/>
        <item x="8"/>
        <item x="9"/>
        <item x="10"/>
        <item x="11"/>
        <item t="default"/>
      </items>
    </pivotField>
    <pivotField numFmtId="1" showAll="0"/>
    <pivotField showAll="0"/>
    <pivotField numFmtId="167" showAll="0"/>
    <pivotField axis="axisRow" dataField="1" showAll="0">
      <items count="3">
        <item x="1"/>
        <item x="0"/>
        <item t="default"/>
      </items>
    </pivotField>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4"/>
  </rowFields>
  <rowItems count="3">
    <i>
      <x/>
    </i>
    <i>
      <x v="1"/>
    </i>
    <i t="grand">
      <x/>
    </i>
  </rowItems>
  <colItems count="1">
    <i/>
  </colItems>
  <dataFields count="1">
    <dataField name="Count of Customer Type" fld="4" subtotal="count" baseField="0" baseItem="0"/>
  </dataFields>
  <formats count="20">
    <format dxfId="77">
      <pivotArea outline="0" collapsedLevelsAreSubtotals="1" fieldPosition="0"/>
    </format>
    <format dxfId="76">
      <pivotArea outline="0" collapsedLevelsAreSubtotals="1" fieldPosition="0"/>
    </format>
    <format dxfId="75">
      <pivotArea outline="0" collapsedLevelsAreSubtotals="1" fieldPosition="0"/>
    </format>
    <format dxfId="74">
      <pivotArea outline="0" collapsedLevelsAreSubtotals="1" fieldPosition="0"/>
    </format>
    <format dxfId="73">
      <pivotArea dataOnly="0" labelOnly="1" fieldPosition="0">
        <references count="1">
          <reference field="4" count="0"/>
        </references>
      </pivotArea>
    </format>
    <format dxfId="72">
      <pivotArea dataOnly="0" labelOnly="1" grandRow="1" outline="0" fieldPosition="0"/>
    </format>
    <format dxfId="71">
      <pivotArea outline="0" collapsedLevelsAreSubtotals="1" fieldPosition="0"/>
    </format>
    <format dxfId="70">
      <pivotArea dataOnly="0" labelOnly="1" fieldPosition="0">
        <references count="1">
          <reference field="4" count="0"/>
        </references>
      </pivotArea>
    </format>
    <format dxfId="69">
      <pivotArea dataOnly="0" labelOnly="1" grandRow="1" outline="0" fieldPosition="0"/>
    </format>
    <format dxfId="68">
      <pivotArea field="4" type="button" dataOnly="0" labelOnly="1" outline="0" axis="axisRow" fieldPosition="0"/>
    </format>
    <format dxfId="67">
      <pivotArea dataOnly="0" labelOnly="1" outline="0" axis="axisValues" fieldPosition="0"/>
    </format>
    <format dxfId="66">
      <pivotArea field="4" type="button" dataOnly="0" labelOnly="1" outline="0" axis="axisRow" fieldPosition="0"/>
    </format>
    <format dxfId="65">
      <pivotArea dataOnly="0" labelOnly="1" outline="0" axis="axisValues" fieldPosition="0"/>
    </format>
    <format dxfId="64">
      <pivotArea field="4" type="button" dataOnly="0" labelOnly="1" outline="0" axis="axisRow" fieldPosition="0"/>
    </format>
    <format dxfId="63">
      <pivotArea dataOnly="0" labelOnly="1" outline="0" axis="axisValues" fieldPosition="0"/>
    </format>
    <format dxfId="62">
      <pivotArea field="4" type="button" dataOnly="0" labelOnly="1" outline="0" axis="axisRow" fieldPosition="0"/>
    </format>
    <format dxfId="61">
      <pivotArea dataOnly="0" labelOnly="1" outline="0" axis="axisValues" fieldPosition="0"/>
    </format>
    <format dxfId="60">
      <pivotArea collapsedLevelsAreSubtotals="1" fieldPosition="0">
        <references count="1">
          <reference field="4" count="1">
            <x v="0"/>
          </reference>
        </references>
      </pivotArea>
    </format>
    <format dxfId="59">
      <pivotArea collapsedLevelsAreSubtotals="1" fieldPosition="0">
        <references count="1">
          <reference field="4" count="1">
            <x v="1"/>
          </reference>
        </references>
      </pivotArea>
    </format>
    <format dxfId="5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D6DACF-D19D-A64F-94F5-440D76B961E8}"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10:H23" firstHeaderRow="1" firstDataRow="1" firstDataCol="1"/>
  <pivotFields count="30">
    <pivotField axis="axisRow"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Sum of Balance" fld="29" baseField="0" baseItem="0" numFmtId="165"/>
  </dataFields>
  <formats count="20">
    <format dxfId="97">
      <pivotArea dataOnly="0" labelOnly="1" outline="0" fieldPosition="0">
        <references count="1">
          <reference field="4294967294" count="1">
            <x v="0"/>
          </reference>
        </references>
      </pivotArea>
    </format>
    <format dxfId="96">
      <pivotArea dataOnly="0" labelOnly="1" outline="0" fieldPosition="0">
        <references count="1">
          <reference field="4294967294" count="1">
            <x v="0"/>
          </reference>
        </references>
      </pivotArea>
    </format>
    <format dxfId="95">
      <pivotArea outline="0" collapsedLevelsAreSubtotals="1" fieldPosition="0"/>
    </format>
    <format dxfId="94">
      <pivotArea outline="0" collapsedLevelsAreSubtotals="1" fieldPosition="0"/>
    </format>
    <format dxfId="93">
      <pivotArea dataOnly="0" outline="0" fieldPosition="0">
        <references count="1">
          <reference field="4294967294" count="1">
            <x v="0"/>
          </reference>
        </references>
      </pivotArea>
    </format>
    <format dxfId="92">
      <pivotArea outline="0" collapsedLevelsAreSubtotals="1" fieldPosition="0"/>
    </format>
    <format dxfId="91">
      <pivotArea outline="0" collapsedLevelsAreSubtotals="1" fieldPosition="0"/>
    </format>
    <format dxfId="90">
      <pivotArea dataOnly="0" labelOnly="1" fieldPosition="0">
        <references count="1">
          <reference field="0" count="0"/>
        </references>
      </pivotArea>
    </format>
    <format dxfId="89">
      <pivotArea dataOnly="0" labelOnly="1" grandRow="1" outline="0" fieldPosition="0"/>
    </format>
    <format dxfId="88">
      <pivotArea outline="0" collapsedLevelsAreSubtotals="1" fieldPosition="0"/>
    </format>
    <format dxfId="87">
      <pivotArea dataOnly="0" labelOnly="1" fieldPosition="0">
        <references count="1">
          <reference field="0" count="0"/>
        </references>
      </pivotArea>
    </format>
    <format dxfId="86">
      <pivotArea dataOnly="0" labelOnly="1" grandRow="1" outline="0" fieldPosition="0"/>
    </format>
    <format dxfId="85">
      <pivotArea field="0" type="button" dataOnly="0" labelOnly="1" outline="0" axis="axisRow" fieldPosition="0"/>
    </format>
    <format dxfId="84">
      <pivotArea dataOnly="0" labelOnly="1" outline="0" axis="axisValues" fieldPosition="0"/>
    </format>
    <format dxfId="83">
      <pivotArea field="0" type="button" dataOnly="0" labelOnly="1" outline="0" axis="axisRow" fieldPosition="0"/>
    </format>
    <format dxfId="82">
      <pivotArea dataOnly="0" labelOnly="1" outline="0" axis="axisValues" fieldPosition="0"/>
    </format>
    <format dxfId="81">
      <pivotArea field="0" type="button" dataOnly="0" labelOnly="1" outline="0" axis="axisRow" fieldPosition="0"/>
    </format>
    <format dxfId="80">
      <pivotArea dataOnly="0" labelOnly="1" outline="0" axis="axisValues" fieldPosition="0"/>
    </format>
    <format dxfId="79">
      <pivotArea field="0" type="button" dataOnly="0" labelOnly="1" outline="0" axis="axisRow" fieldPosition="0"/>
    </format>
    <format dxfId="78">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A8B3FC-0119-624D-AC14-1811849C20DC}"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N10:AS11" firstHeaderRow="0" firstDataRow="1" firstDataCol="0"/>
  <pivotFields count="30">
    <pivotField showAll="0"/>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items count="5">
        <item x="0"/>
        <item h="1" x="1"/>
        <item h="1" x="3"/>
        <item h="1" x="2"/>
        <item t="default"/>
      </items>
    </pivotField>
    <pivotField dataField="1" numFmtId="1" showAll="0"/>
    <pivotField dataField="1" showAll="0"/>
    <pivotField dataField="1" numFmtId="165" showAll="0"/>
    <pivotField dataField="1" numFmtId="165" showAll="0"/>
    <pivotField dataField="1" numFmtId="165" showAll="0"/>
    <pivotField dataField="1"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Items count="1">
    <i/>
  </rowItems>
  <colFields count="1">
    <field x="-2"/>
  </colFields>
  <colItems count="6">
    <i>
      <x/>
    </i>
    <i i="1">
      <x v="1"/>
    </i>
    <i i="2">
      <x v="2"/>
    </i>
    <i i="3">
      <x v="3"/>
    </i>
    <i i="4">
      <x v="4"/>
    </i>
    <i i="5">
      <x v="5"/>
    </i>
  </colItems>
  <dataFields count="6">
    <dataField name="Sum of Odometer" fld="17" baseField="0" baseItem="0"/>
    <dataField name="Sum of Miles" fld="18" baseField="0" baseItem="0"/>
    <dataField name="Sum of Rate Per Miles" fld="19" baseField="0" baseItem="0"/>
    <dataField name="Sum of Extra Stops" fld="20" baseField="0" baseItem="0"/>
    <dataField name="Sum of Extra Pay" fld="21" baseField="0" baseItem="0"/>
    <dataField name="Sum of Costs Driver Paid" fld="22" baseField="0" baseItem="0"/>
  </dataFields>
  <formats count="9">
    <format dxfId="106">
      <pivotArea outline="0" collapsedLevelsAreSubtotals="1" fieldPosition="0"/>
    </format>
    <format dxfId="105">
      <pivotArea outline="0" collapsedLevelsAreSubtotals="1" fieldPosition="0"/>
    </format>
    <format dxfId="104">
      <pivotArea outline="0" collapsedLevelsAreSubtotals="1" fieldPosition="0"/>
    </format>
    <format dxfId="103">
      <pivotArea outline="0" collapsedLevelsAreSubtotals="1" fieldPosition="0"/>
    </format>
    <format dxfId="102">
      <pivotArea dataOnly="0" labelOnly="1" grandRow="1" outline="0" fieldPosition="0"/>
    </format>
    <format dxfId="101">
      <pivotArea outline="0" collapsedLevelsAreSubtotals="1" fieldPosition="0"/>
    </format>
    <format dxfId="100">
      <pivotArea dataOnly="0" labelOnly="1" grandRow="1" outline="0" fieldPosition="0"/>
    </format>
    <format dxfId="99">
      <pivotArea type="all" dataOnly="0" outline="0" fieldPosition="0"/>
    </format>
    <format dxfId="9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B9B0764-D4D0-E741-B236-71DB7F5C6F54}"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I10:AK23" firstHeaderRow="0" firstDataRow="1" firstDataCol="1"/>
  <pivotFields count="30">
    <pivotField axis="axisRow"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dataField="1"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dataField="1"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Rate" fld="6" baseField="0" baseItem="0"/>
    <dataField name="Sum of Total Expenses" fld="23" baseField="0" baseItem="0"/>
  </dataFields>
  <formats count="9">
    <format dxfId="115">
      <pivotArea outline="0" collapsedLevelsAreSubtotals="1" fieldPosition="0"/>
    </format>
    <format dxfId="114">
      <pivotArea outline="0" collapsedLevelsAreSubtotals="1" fieldPosition="0"/>
    </format>
    <format dxfId="113">
      <pivotArea outline="0" collapsedLevelsAreSubtotals="1" fieldPosition="0"/>
    </format>
    <format dxfId="112">
      <pivotArea outline="0" collapsedLevelsAreSubtotals="1" fieldPosition="0"/>
    </format>
    <format dxfId="111">
      <pivotArea dataOnly="0" labelOnly="1" grandRow="1" outline="0" fieldPosition="0"/>
    </format>
    <format dxfId="110">
      <pivotArea outline="0" collapsedLevelsAreSubtotals="1" fieldPosition="0"/>
    </format>
    <format dxfId="109">
      <pivotArea dataOnly="0" labelOnly="1" grandRow="1" outline="0" fieldPosition="0"/>
    </format>
    <format dxfId="108">
      <pivotArea type="all" dataOnly="0" outline="0" fieldPosition="0"/>
    </format>
    <format dxfId="107">
      <pivotArea outline="0" collapsedLevelsAreSubtotals="1" fieldPosition="0"/>
    </format>
  </formats>
  <chartFormats count="4">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B23C61C-DE14-8D42-9758-7D399EBB7BC7}"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E10:BI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items count="9">
        <item x="4"/>
        <item x="1"/>
        <item x="2"/>
        <item x="3"/>
        <item x="6"/>
        <item x="0"/>
        <item m="1" x="7"/>
        <item x="5"/>
        <item t="default"/>
      </items>
    </pivotField>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dataField="1" numFmtId="165" showAll="0"/>
    <pivotField dataField="1" numFmtId="165" showAll="0"/>
    <pivotField dataField="1" numFmtId="165" showAll="0"/>
    <pivotField dataField="1" numFmtId="165" showAll="0"/>
    <pivotField dataField="1" numFmtId="165" showAll="0"/>
    <pivotField dragToRow="0" dragToCol="0" dragToPage="0" showAll="0" defaultSubtotal="0"/>
  </pivotFields>
  <rowItems count="1">
    <i/>
  </rowItems>
  <colFields count="1">
    <field x="-2"/>
  </colFields>
  <colItems count="5">
    <i>
      <x/>
    </i>
    <i i="1">
      <x v="1"/>
    </i>
    <i i="2">
      <x v="2"/>
    </i>
    <i i="3">
      <x v="3"/>
    </i>
    <i i="4">
      <x v="4"/>
    </i>
  </colItems>
  <dataFields count="5">
    <dataField name="Sum of First condition type" fld="24" baseField="0" baseItem="0"/>
    <dataField name="Sum of Shipment cost sub-items" fld="25" baseField="0" baseItem="0"/>
    <dataField name="Sum of ERE Stage" fld="26" baseField="0" baseItem="0"/>
    <dataField name="Sum of Basic freight" fld="27" baseField="0" baseItem="0"/>
    <dataField name="Sum of Final Amount" fld="28" baseField="0" baseItem="0"/>
  </dataFields>
  <formats count="19">
    <format dxfId="134">
      <pivotArea outline="0" collapsedLevelsAreSubtotals="1" fieldPosition="0"/>
    </format>
    <format dxfId="133">
      <pivotArea outline="0" collapsedLevelsAreSubtotals="1" fieldPosition="0"/>
    </format>
    <format dxfId="132">
      <pivotArea outline="0" collapsedLevelsAreSubtotals="1" fieldPosition="0"/>
    </format>
    <format dxfId="131">
      <pivotArea outline="0" collapsedLevelsAreSubtotals="1" fieldPosition="0"/>
    </format>
    <format dxfId="130">
      <pivotArea outline="0" collapsedLevelsAreSubtotals="1" fieldPosition="0"/>
    </format>
    <format dxfId="129">
      <pivotArea type="all" dataOnly="0" outline="0" fieldPosition="0"/>
    </format>
    <format dxfId="128">
      <pivotArea outline="0" collapsedLevelsAreSubtotals="1" fieldPosition="0"/>
    </format>
    <format dxfId="127">
      <pivotArea type="all" dataOnly="0" outline="0" fieldPosition="0"/>
    </format>
    <format dxfId="126">
      <pivotArea outline="0" collapsedLevelsAreSubtotals="1" fieldPosition="0"/>
    </format>
    <format dxfId="125">
      <pivotArea field="5" type="button" dataOnly="0" labelOnly="1" outline="0"/>
    </format>
    <format dxfId="124">
      <pivotArea dataOnly="0" labelOnly="1" grandRow="1" outline="0" fieldPosition="0"/>
    </format>
    <format dxfId="123">
      <pivotArea dataOnly="0" labelOnly="1" outline="0" axis="axisValues" fieldPosition="0"/>
    </format>
    <format dxfId="122">
      <pivotArea type="all" dataOnly="0" outline="0" fieldPosition="0"/>
    </format>
    <format dxfId="121">
      <pivotArea outline="0" collapsedLevelsAreSubtotals="1" fieldPosition="0"/>
    </format>
    <format dxfId="120">
      <pivotArea field="5" type="button" dataOnly="0" labelOnly="1" outline="0"/>
    </format>
    <format dxfId="119">
      <pivotArea dataOnly="0" labelOnly="1" grandRow="1" outline="0" fieldPosition="0"/>
    </format>
    <format dxfId="118">
      <pivotArea dataOnly="0" labelOnly="1" outline="0" axis="axisValues" fieldPosition="0"/>
    </format>
    <format dxfId="117">
      <pivotArea dataOnly="0" labelOnly="1" outline="0" axis="axisValues" fieldPosition="0"/>
    </format>
    <format dxfId="1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C95F86-1398-1448-ADCD-59370C1FAEE6}"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X10:AY18" firstHeaderRow="1" firstDataRow="1" firstDataCol="1"/>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axis="axisRow" dataField="1" showAll="0">
      <items count="9">
        <item x="4"/>
        <item x="1"/>
        <item x="2"/>
        <item x="3"/>
        <item x="6"/>
        <item x="0"/>
        <item m="1" x="7"/>
        <item x="5"/>
        <item t="default"/>
      </items>
    </pivotField>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5"/>
  </rowFields>
  <rowItems count="8">
    <i>
      <x/>
    </i>
    <i>
      <x v="1"/>
    </i>
    <i>
      <x v="2"/>
    </i>
    <i>
      <x v="3"/>
    </i>
    <i>
      <x v="4"/>
    </i>
    <i>
      <x v="5"/>
    </i>
    <i>
      <x v="7"/>
    </i>
    <i t="grand">
      <x/>
    </i>
  </rowItems>
  <colItems count="1">
    <i/>
  </colItems>
  <dataFields count="1">
    <dataField name="Count of Destination" fld="5" subtotal="count" baseField="0" baseItem="0"/>
  </dataFields>
  <formats count="21">
    <format dxfId="155">
      <pivotArea outline="0" collapsedLevelsAreSubtotals="1" fieldPosition="0"/>
    </format>
    <format dxfId="154">
      <pivotArea outline="0" collapsedLevelsAreSubtotals="1" fieldPosition="0"/>
    </format>
    <format dxfId="153">
      <pivotArea outline="0" collapsedLevelsAreSubtotals="1" fieldPosition="0"/>
    </format>
    <format dxfId="152">
      <pivotArea outline="0" collapsedLevelsAreSubtotals="1" fieldPosition="0"/>
    </format>
    <format dxfId="151">
      <pivotArea outline="0" collapsedLevelsAreSubtotals="1" fieldPosition="0"/>
    </format>
    <format dxfId="150">
      <pivotArea type="all" dataOnly="0" outline="0" fieldPosition="0"/>
    </format>
    <format dxfId="149">
      <pivotArea outline="0" collapsedLevelsAreSubtotals="1" fieldPosition="0"/>
    </format>
    <format dxfId="148">
      <pivotArea type="all" dataOnly="0" outline="0" fieldPosition="0"/>
    </format>
    <format dxfId="147">
      <pivotArea outline="0" collapsedLevelsAreSubtotals="1" fieldPosition="0"/>
    </format>
    <format dxfId="146">
      <pivotArea field="5" type="button" dataOnly="0" labelOnly="1" outline="0" axis="axisRow" fieldPosition="0"/>
    </format>
    <format dxfId="145">
      <pivotArea dataOnly="0" labelOnly="1" fieldPosition="0">
        <references count="1">
          <reference field="5" count="0"/>
        </references>
      </pivotArea>
    </format>
    <format dxfId="144">
      <pivotArea dataOnly="0" labelOnly="1" grandRow="1" outline="0" fieldPosition="0"/>
    </format>
    <format dxfId="143">
      <pivotArea dataOnly="0" labelOnly="1" outline="0" axis="axisValues" fieldPosition="0"/>
    </format>
    <format dxfId="142">
      <pivotArea type="all" dataOnly="0" outline="0" fieldPosition="0"/>
    </format>
    <format dxfId="141">
      <pivotArea outline="0" collapsedLevelsAreSubtotals="1" fieldPosition="0"/>
    </format>
    <format dxfId="140">
      <pivotArea field="5" type="button" dataOnly="0" labelOnly="1" outline="0" axis="axisRow" fieldPosition="0"/>
    </format>
    <format dxfId="139">
      <pivotArea dataOnly="0" labelOnly="1" fieldPosition="0">
        <references count="1">
          <reference field="5" count="0"/>
        </references>
      </pivotArea>
    </format>
    <format dxfId="138">
      <pivotArea dataOnly="0" labelOnly="1" grandRow="1" outline="0" fieldPosition="0"/>
    </format>
    <format dxfId="137">
      <pivotArea dataOnly="0" labelOnly="1" outline="0" axis="axisValues" fieldPosition="0"/>
    </format>
    <format dxfId="136">
      <pivotArea outline="0" collapsedLevelsAreSubtotals="1" fieldPosition="0"/>
    </format>
    <format dxfId="13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515341-BE85-AD4A-959A-F04F0AEEE69B}"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W10:Z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dataField="1" numFmtId="165" showAll="0"/>
    <pivotField dataField="1" showAll="0"/>
    <pivotField dataField="1" numFmtId="165" showAll="0"/>
    <pivotField dataField="1"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Items count="1">
    <i/>
  </rowItems>
  <colFields count="1">
    <field x="-2"/>
  </colFields>
  <colItems count="4">
    <i>
      <x/>
    </i>
    <i i="1">
      <x v="1"/>
    </i>
    <i i="2">
      <x v="2"/>
    </i>
    <i i="3">
      <x v="3"/>
    </i>
  </colItems>
  <dataFields count="4">
    <dataField name="Sum of Warehouse" fld="12" baseField="0" baseItem="0"/>
    <dataField name="Sum of Repairs" fld="13" baseField="0" baseItem="0"/>
    <dataField name="Sum of Tolls" fld="14" baseField="0" baseItem="0"/>
    <dataField name="Sum of Fundings" fld="15" baseField="0" baseItem="0"/>
  </dataFields>
  <formats count="9">
    <format dxfId="164">
      <pivotArea outline="0" collapsedLevelsAreSubtotals="1" fieldPosition="0"/>
    </format>
    <format dxfId="163">
      <pivotArea outline="0" collapsedLevelsAreSubtotals="1" fieldPosition="0"/>
    </format>
    <format dxfId="162">
      <pivotArea outline="0" collapsedLevelsAreSubtotals="1" fieldPosition="0"/>
    </format>
    <format dxfId="161">
      <pivotArea outline="0" collapsedLevelsAreSubtotals="1" fieldPosition="0"/>
    </format>
    <format dxfId="160">
      <pivotArea dataOnly="0" labelOnly="1" grandRow="1" outline="0" fieldPosition="0"/>
    </format>
    <format dxfId="159">
      <pivotArea outline="0" collapsedLevelsAreSubtotals="1" fieldPosition="0"/>
    </format>
    <format dxfId="158">
      <pivotArea dataOnly="0" labelOnly="1" grandRow="1" outline="0" fieldPosition="0"/>
    </format>
    <format dxfId="157">
      <pivotArea type="all" dataOnly="0" outline="0" fieldPosition="0"/>
    </format>
    <format dxfId="1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9C25514-5680-7A4A-AD99-CB61ABB873E1}" sourceName="Month">
  <pivotTables>
    <pivotTable tabId="4" name="PivotTable7"/>
    <pivotTable tabId="4" name="PivotTable1"/>
    <pivotTable tabId="4" name="PivotTable2"/>
    <pivotTable tabId="4" name="PivotTable3"/>
    <pivotTable tabId="4" name="PivotTable5"/>
    <pivotTable tabId="4" name="PivotTable9"/>
    <pivotTable tabId="4" name="PivotTable11"/>
    <pivotTable tabId="4" name="PivotTable10"/>
  </pivotTables>
  <data>
    <tabular pivotCacheId="1108524852">
      <items count="12">
        <i x="0" s="1"/>
        <i x="1" s="1"/>
        <i x="2" s="1"/>
        <i x="3" s="1"/>
        <i x="4" s="1"/>
        <i x="5" s="1"/>
        <i x="6" s="1"/>
        <i x="7" s="1"/>
        <i x="8" s="1"/>
        <i x="9" s="1"/>
        <i x="10" s="1"/>
        <i x="1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ver_Name" xr10:uid="{5768D406-1428-D341-BEF5-BD2245B70D47}" sourceName="Driver Name">
  <pivotTables>
    <pivotTable tabId="4" name="PivotTable8"/>
  </pivotTables>
  <data>
    <tabular pivotCacheId="1108524852">
      <items count="4">
        <i x="0" s="1"/>
        <i x="1"/>
        <i x="3"/>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B646B5F4-F662-8D42-A61E-32A531D4F673}" cache="Slicer_Month" caption="Month" rowHeight="230716"/>
  <slicer name="Driver Name" xr10:uid="{CBBA1AF7-6E7F-2140-9B86-7FCC33FDFFCD}" cache="Slicer_Driver_Name" caption="Driver Nam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E2AA33C-FA97-844D-9DC0-F320C1391905}" cache="Slicer_Month" caption="Month" columnCount="12" showCaption="0" style="SlicerStyleLight3 2 2" rowHeight="365760"/>
  <slicer name="Driver Name 1" xr10:uid="{2413FEBD-DF0C-F54A-A6AE-5870461834BC}" cache="Slicer_Driver_Name" caption="Driver Name" showCaption="0" style="Monthly_Slicer"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4D6A47-AD62-B74C-9072-6FF2E9116A9F}" name="Datatable" displayName="Datatable" ref="A1:AC62" totalsRowShown="0" headerRowDxfId="195" dataDxfId="194">
  <autoFilter ref="A1:AC62" xr:uid="{E9122FFA-A987-4159-A95C-B49963079A8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sortState xmlns:xlrd2="http://schemas.microsoft.com/office/spreadsheetml/2017/richdata2" ref="A2:AC62">
    <sortCondition ref="A1:A62" customList="Jan,Feb,Mar,Apr,May,Jun,Jul,Aug,Sep,Oct,Nov,Dec"/>
  </sortState>
  <tableColumns count="29">
    <tableColumn id="1" xr3:uid="{3E6F61E1-086B-7745-B6EF-E5C62B8FE94B}" name="Month" dataDxfId="193"/>
    <tableColumn id="118" xr3:uid="{BF8983AC-FFCD-ED4C-987F-7BDF7F5D588F}" name="Day" dataDxfId="192"/>
    <tableColumn id="17" xr3:uid="{FF303281-6314-1F4A-A14A-8CE46CB8B346}" name="Load" dataDxfId="191"/>
    <tableColumn id="4" xr3:uid="{0438CA68-A576-764A-8A4B-84A67B947222}" name="Tonnage" dataDxfId="190"/>
    <tableColumn id="8" xr3:uid="{68905F02-2B12-BB4F-B9FA-F984761BF349}" name="Customer Type" dataDxfId="189"/>
    <tableColumn id="13" xr3:uid="{330C12FC-D7AE-EB41-B8E8-F857CAEA79AB}" name="Destination" dataDxfId="188"/>
    <tableColumn id="18" xr3:uid="{B582FE65-3598-2B49-9DAB-E9DDB0594A77}" name="Rate" dataDxfId="187" dataCellStyle="Currency"/>
    <tableColumn id="2" xr3:uid="{73CEEE7A-8B9A-0A45-8CFB-D32F87244D68}" name="Truck" dataDxfId="186" dataCellStyle="Currency"/>
    <tableColumn id="9" xr3:uid="{1DB572D0-4C79-5F47-B258-D2E493B428E4}" name="Insurance" dataDxfId="185"/>
    <tableColumn id="10" xr3:uid="{C41FF8CB-85A9-F544-864B-BEB76A271332}" name="Fuel" dataDxfId="184"/>
    <tableColumn id="11" xr3:uid="{7E8EBC45-9694-204B-9EE8-8BAFCD222EF1}" name="Diesel Exhaust Fluid" dataDxfId="183"/>
    <tableColumn id="12" xr3:uid="{A32346BC-8CD2-AD40-9D58-80FDCECFC212}" name="Advance" dataDxfId="182"/>
    <tableColumn id="43" xr3:uid="{D04207EB-8EDD-9E4B-85A2-3C213A99671A}" name="Warehouse" dataDxfId="181"/>
    <tableColumn id="44" xr3:uid="{59ED53C5-13E6-2447-975F-C4145653A419}" name="Repairs" dataDxfId="180"/>
    <tableColumn id="46" xr3:uid="{10792418-FCE6-D048-8083-391E30F2437B}" name="Tolls" dataDxfId="179"/>
    <tableColumn id="47" xr3:uid="{DA49BA92-2CED-D04E-BCF7-B1D1730A540B}" name="Fundings" dataDxfId="178"/>
    <tableColumn id="3" xr3:uid="{BD854180-45F1-6D44-9FAC-E97E39F21F08}" name="Driver Name" dataDxfId="177"/>
    <tableColumn id="6" xr3:uid="{B616869B-9FA2-C942-B2C2-6FFFA5701C90}" name="Odometer" dataDxfId="176"/>
    <tableColumn id="7" xr3:uid="{A94F46FA-45D4-E14A-A373-DCBD9055859C}" name="Miles" dataDxfId="175"/>
    <tableColumn id="15" xr3:uid="{769CDE33-B45F-274F-A586-29AB2D470A73}" name="Rate Per Miles" dataDxfId="174"/>
    <tableColumn id="19" xr3:uid="{4E187BE6-89E0-E846-AFA0-4E64295EB4CA}" name="Extra Stops" dataDxfId="173"/>
    <tableColumn id="20" xr3:uid="{4E16BBBD-E0DB-EE42-A6F6-27419BC30BF8}" name="Extra Pay" dataDxfId="172"/>
    <tableColumn id="22" xr3:uid="{DCDAB4A5-F2A7-E04F-83CB-C7D859D46D4A}" name="Costs Driver Paid" dataDxfId="171"/>
    <tableColumn id="5" xr3:uid="{D4488FF4-F9AB-6D41-9FBF-9436070818B9}" name="Total Expenses" dataDxfId="170"/>
    <tableColumn id="14" xr3:uid="{C7719667-7861-8149-B955-C116DE76692B}" name="First condition type" dataDxfId="169"/>
    <tableColumn id="16" xr3:uid="{9ABCDD3C-EB9C-4920-8CD0-BF04B1377A42}" name="Shipment cost sub-items" dataDxfId="168"/>
    <tableColumn id="21" xr3:uid="{7A07B2B5-7841-4FF8-99E4-FB45F29B264D}" name="ERE Stage" dataDxfId="167"/>
    <tableColumn id="23" xr3:uid="{B65F508A-376E-465F-BCCA-C2E1604B4556}" name="Basic freight" dataDxfId="166"/>
    <tableColumn id="24" xr3:uid="{E0FCE24D-05E9-42A3-970B-03EF2BED0327}" name="Final Amount" dataDxfId="16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39CFC-1162-9941-A49C-989867DCBC6F}">
  <sheetPr codeName="Sheet1">
    <tabColor rgb="FFD3BBC0"/>
  </sheetPr>
  <dimension ref="A1:AC62"/>
  <sheetViews>
    <sheetView showGridLines="0" zoomScaleNormal="100" workbookViewId="0"/>
  </sheetViews>
  <sheetFormatPr baseColWidth="10" defaultColWidth="8.6640625" defaultRowHeight="16" x14ac:dyDescent="0.2"/>
  <cols>
    <col min="1" max="1" width="6.83203125" style="4" bestFit="1" customWidth="1"/>
    <col min="2" max="2" width="4.5" style="4" bestFit="1" customWidth="1"/>
    <col min="3" max="3" width="9.5" style="4" customWidth="1"/>
    <col min="4" max="4" width="9" style="4" bestFit="1" customWidth="1"/>
    <col min="5" max="5" width="20" style="3" bestFit="1" customWidth="1"/>
    <col min="6" max="6" width="16.33203125" style="3" bestFit="1" customWidth="1"/>
    <col min="7" max="7" width="7.5" style="4" bestFit="1" customWidth="1"/>
    <col min="8" max="9" width="10.1640625" style="4" customWidth="1"/>
    <col min="10" max="10" width="10.83203125" style="4" customWidth="1"/>
    <col min="11" max="11" width="9.5" style="4" customWidth="1"/>
    <col min="12" max="12" width="9.6640625" style="4" customWidth="1"/>
    <col min="13" max="13" width="13.5" style="3" customWidth="1"/>
    <col min="14" max="14" width="17.83203125" style="3" customWidth="1"/>
    <col min="15" max="15" width="9.6640625" style="4" customWidth="1"/>
    <col min="16" max="16" width="10" style="4" customWidth="1"/>
    <col min="17" max="17" width="9.6640625" style="4" customWidth="1"/>
    <col min="18" max="18" width="9.6640625" style="3" customWidth="1"/>
    <col min="19" max="19" width="8" style="3" customWidth="1"/>
    <col min="20" max="20" width="9.6640625" style="3" customWidth="1"/>
    <col min="21" max="21" width="9.6640625" style="3" bestFit="1" customWidth="1"/>
    <col min="22" max="22" width="10.33203125" style="3" customWidth="1"/>
    <col min="23" max="23" width="9.1640625" style="3" bestFit="1" customWidth="1"/>
    <col min="24" max="24" width="9.83203125" style="3" customWidth="1"/>
    <col min="25" max="26" width="12.33203125" style="3" bestFit="1" customWidth="1"/>
    <col min="27" max="16384" width="8.6640625" style="3"/>
  </cols>
  <sheetData>
    <row r="1" spans="1:29" s="2" customFormat="1" ht="45" customHeight="1" x14ac:dyDescent="0.15">
      <c r="A1" s="1" t="s">
        <v>0</v>
      </c>
      <c r="B1" s="1" t="s">
        <v>1</v>
      </c>
      <c r="C1" s="1" t="s">
        <v>2</v>
      </c>
      <c r="D1" s="1" t="s">
        <v>44</v>
      </c>
      <c r="E1" s="1" t="s">
        <v>45</v>
      </c>
      <c r="F1" s="1" t="s">
        <v>48</v>
      </c>
      <c r="G1" s="1" t="s">
        <v>3</v>
      </c>
      <c r="H1" s="1" t="s">
        <v>4</v>
      </c>
      <c r="I1" s="1" t="s">
        <v>5</v>
      </c>
      <c r="J1" s="1" t="s">
        <v>6</v>
      </c>
      <c r="K1" s="1" t="s">
        <v>7</v>
      </c>
      <c r="L1" s="1" t="s">
        <v>8</v>
      </c>
      <c r="M1" s="1" t="s">
        <v>9</v>
      </c>
      <c r="N1" s="1" t="s">
        <v>10</v>
      </c>
      <c r="O1" s="1" t="s">
        <v>11</v>
      </c>
      <c r="P1" s="1" t="s">
        <v>12</v>
      </c>
      <c r="Q1" s="1" t="s">
        <v>13</v>
      </c>
      <c r="R1" s="1" t="s">
        <v>14</v>
      </c>
      <c r="S1" s="1" t="s">
        <v>15</v>
      </c>
      <c r="T1" s="1" t="s">
        <v>16</v>
      </c>
      <c r="U1" s="1" t="s">
        <v>17</v>
      </c>
      <c r="V1" s="1" t="s">
        <v>18</v>
      </c>
      <c r="W1" s="1" t="s">
        <v>19</v>
      </c>
      <c r="X1" s="1" t="s">
        <v>20</v>
      </c>
      <c r="Y1" s="1" t="s">
        <v>56</v>
      </c>
      <c r="Z1" s="1" t="s">
        <v>57</v>
      </c>
      <c r="AA1" s="1" t="s">
        <v>60</v>
      </c>
      <c r="AB1" s="1" t="s">
        <v>58</v>
      </c>
      <c r="AC1" s="1" t="s">
        <v>59</v>
      </c>
    </row>
    <row r="2" spans="1:29" x14ac:dyDescent="0.2">
      <c r="A2" s="5" t="s">
        <v>21</v>
      </c>
      <c r="B2" s="6">
        <v>1</v>
      </c>
      <c r="C2" s="7" t="s">
        <v>22</v>
      </c>
      <c r="D2" s="8">
        <v>11</v>
      </c>
      <c r="E2" s="7" t="s">
        <v>46</v>
      </c>
      <c r="F2" s="7" t="s">
        <v>54</v>
      </c>
      <c r="G2" s="9">
        <v>5556</v>
      </c>
      <c r="H2" s="10" t="s">
        <v>27</v>
      </c>
      <c r="I2" s="11">
        <v>132</v>
      </c>
      <c r="J2" s="11">
        <v>400</v>
      </c>
      <c r="K2" s="11">
        <v>50</v>
      </c>
      <c r="L2" s="11">
        <v>250</v>
      </c>
      <c r="M2" s="12">
        <v>120</v>
      </c>
      <c r="N2" s="11">
        <v>65</v>
      </c>
      <c r="O2" s="11">
        <v>134</v>
      </c>
      <c r="P2" s="11">
        <v>6</v>
      </c>
      <c r="Q2" s="13" t="s">
        <v>40</v>
      </c>
      <c r="R2" s="6">
        <v>295.41000000000003</v>
      </c>
      <c r="S2" s="7">
        <v>343</v>
      </c>
      <c r="T2" s="11">
        <v>240.1</v>
      </c>
      <c r="U2" s="11">
        <v>100</v>
      </c>
      <c r="V2" s="11">
        <v>22</v>
      </c>
      <c r="W2" s="11">
        <v>54</v>
      </c>
      <c r="X2" s="14">
        <v>1573.1</v>
      </c>
      <c r="Y2" s="11">
        <v>722.28</v>
      </c>
      <c r="Z2" s="11">
        <v>1111.2</v>
      </c>
      <c r="AA2" s="11">
        <v>944.5200000000001</v>
      </c>
      <c r="AB2" s="11">
        <v>1389</v>
      </c>
      <c r="AC2" s="11">
        <v>1666.8</v>
      </c>
    </row>
    <row r="3" spans="1:29" x14ac:dyDescent="0.2">
      <c r="A3" s="5" t="s">
        <v>21</v>
      </c>
      <c r="B3" s="6">
        <v>3</v>
      </c>
      <c r="C3" s="15" t="s">
        <v>22</v>
      </c>
      <c r="D3" s="8">
        <v>21.3</v>
      </c>
      <c r="E3" s="7" t="s">
        <v>46</v>
      </c>
      <c r="F3" s="7" t="s">
        <v>50</v>
      </c>
      <c r="G3" s="9">
        <v>5556</v>
      </c>
      <c r="H3" s="10" t="s">
        <v>27</v>
      </c>
      <c r="I3" s="11">
        <v>132</v>
      </c>
      <c r="J3" s="11">
        <v>400</v>
      </c>
      <c r="K3" s="11">
        <v>50</v>
      </c>
      <c r="L3" s="11">
        <v>250</v>
      </c>
      <c r="M3" s="12">
        <v>120</v>
      </c>
      <c r="N3" s="11">
        <v>65</v>
      </c>
      <c r="O3" s="11">
        <v>134</v>
      </c>
      <c r="P3" s="11">
        <v>6</v>
      </c>
      <c r="Q3" s="13" t="s">
        <v>41</v>
      </c>
      <c r="R3" s="6">
        <v>295.41000000000003</v>
      </c>
      <c r="S3" s="7">
        <v>343</v>
      </c>
      <c r="T3" s="11">
        <v>240.1</v>
      </c>
      <c r="U3" s="11">
        <v>100</v>
      </c>
      <c r="V3" s="11">
        <v>22</v>
      </c>
      <c r="W3" s="11">
        <v>54</v>
      </c>
      <c r="X3" s="14">
        <v>1573.1</v>
      </c>
      <c r="Y3" s="11">
        <v>722.28</v>
      </c>
      <c r="Z3" s="11">
        <v>1111.2</v>
      </c>
      <c r="AA3" s="11">
        <v>944.5200000000001</v>
      </c>
      <c r="AB3" s="11">
        <v>1389</v>
      </c>
      <c r="AC3" s="11">
        <v>1666.8</v>
      </c>
    </row>
    <row r="4" spans="1:29" x14ac:dyDescent="0.2">
      <c r="A4" s="5" t="s">
        <v>21</v>
      </c>
      <c r="B4" s="6">
        <v>13</v>
      </c>
      <c r="C4" s="15" t="s">
        <v>22</v>
      </c>
      <c r="D4" s="8">
        <v>22</v>
      </c>
      <c r="E4" s="7" t="s">
        <v>46</v>
      </c>
      <c r="F4" s="7" t="s">
        <v>51</v>
      </c>
      <c r="G4" s="9">
        <v>5556</v>
      </c>
      <c r="H4" s="10" t="s">
        <v>27</v>
      </c>
      <c r="I4" s="11">
        <v>132</v>
      </c>
      <c r="J4" s="11">
        <v>400</v>
      </c>
      <c r="K4" s="11">
        <v>50</v>
      </c>
      <c r="L4" s="11">
        <v>250</v>
      </c>
      <c r="M4" s="12">
        <v>120</v>
      </c>
      <c r="N4" s="11">
        <v>65</v>
      </c>
      <c r="O4" s="11">
        <v>134</v>
      </c>
      <c r="P4" s="11">
        <v>6</v>
      </c>
      <c r="Q4" s="13" t="s">
        <v>42</v>
      </c>
      <c r="R4" s="6">
        <v>295.41000000000003</v>
      </c>
      <c r="S4" s="7">
        <v>343</v>
      </c>
      <c r="T4" s="11">
        <v>240.1</v>
      </c>
      <c r="U4" s="11">
        <v>100</v>
      </c>
      <c r="V4" s="11">
        <v>22</v>
      </c>
      <c r="W4" s="11">
        <v>54</v>
      </c>
      <c r="X4" s="14">
        <v>1573.1</v>
      </c>
      <c r="Y4" s="11">
        <v>722.28</v>
      </c>
      <c r="Z4" s="11">
        <v>1111.2</v>
      </c>
      <c r="AA4" s="11">
        <v>944.5200000000001</v>
      </c>
      <c r="AB4" s="11">
        <v>1389</v>
      </c>
      <c r="AC4" s="11">
        <v>1666.8</v>
      </c>
    </row>
    <row r="5" spans="1:29" x14ac:dyDescent="0.2">
      <c r="A5" s="5" t="s">
        <v>23</v>
      </c>
      <c r="B5" s="6">
        <v>4</v>
      </c>
      <c r="C5" s="15" t="s">
        <v>24</v>
      </c>
      <c r="D5" s="8">
        <v>14.5</v>
      </c>
      <c r="E5" s="7" t="s">
        <v>46</v>
      </c>
      <c r="F5" s="7" t="s">
        <v>50</v>
      </c>
      <c r="G5" s="9">
        <v>4567</v>
      </c>
      <c r="H5" s="10" t="s">
        <v>27</v>
      </c>
      <c r="I5" s="11">
        <v>132</v>
      </c>
      <c r="J5" s="11">
        <v>333</v>
      </c>
      <c r="K5" s="11">
        <v>51</v>
      </c>
      <c r="L5" s="11">
        <v>250</v>
      </c>
      <c r="M5" s="12">
        <v>134</v>
      </c>
      <c r="N5" s="11">
        <v>65</v>
      </c>
      <c r="O5" s="11">
        <v>134</v>
      </c>
      <c r="P5" s="11">
        <v>6</v>
      </c>
      <c r="Q5" s="13" t="s">
        <v>40</v>
      </c>
      <c r="R5" s="6">
        <v>295.41000000000003</v>
      </c>
      <c r="S5" s="7">
        <v>354</v>
      </c>
      <c r="T5" s="11">
        <v>247.79999999999998</v>
      </c>
      <c r="U5" s="11">
        <v>100</v>
      </c>
      <c r="V5" s="11">
        <v>23</v>
      </c>
      <c r="W5" s="11">
        <v>55</v>
      </c>
      <c r="X5" s="14">
        <v>1530.8</v>
      </c>
      <c r="Y5" s="11">
        <v>593.71</v>
      </c>
      <c r="Z5" s="11">
        <v>913.40000000000009</v>
      </c>
      <c r="AA5" s="11">
        <v>776.3900000000001</v>
      </c>
      <c r="AB5" s="11">
        <v>1141.75</v>
      </c>
      <c r="AC5" s="11">
        <v>1370.1</v>
      </c>
    </row>
    <row r="6" spans="1:29" x14ac:dyDescent="0.2">
      <c r="A6" s="5" t="s">
        <v>23</v>
      </c>
      <c r="B6" s="6">
        <v>5</v>
      </c>
      <c r="C6" s="15" t="s">
        <v>24</v>
      </c>
      <c r="D6" s="8">
        <v>18</v>
      </c>
      <c r="E6" s="7" t="s">
        <v>46</v>
      </c>
      <c r="F6" s="7" t="s">
        <v>51</v>
      </c>
      <c r="G6" s="9">
        <v>4567</v>
      </c>
      <c r="H6" s="10" t="s">
        <v>27</v>
      </c>
      <c r="I6" s="11">
        <v>132</v>
      </c>
      <c r="J6" s="11">
        <v>333</v>
      </c>
      <c r="K6" s="11">
        <v>52</v>
      </c>
      <c r="L6" s="11">
        <v>250</v>
      </c>
      <c r="M6" s="12">
        <v>134</v>
      </c>
      <c r="N6" s="11">
        <v>65</v>
      </c>
      <c r="O6" s="11">
        <v>134</v>
      </c>
      <c r="P6" s="11">
        <v>6</v>
      </c>
      <c r="Q6" s="13" t="s">
        <v>41</v>
      </c>
      <c r="R6" s="6">
        <v>295.41000000000003</v>
      </c>
      <c r="S6" s="7">
        <v>354</v>
      </c>
      <c r="T6" s="11">
        <v>247.79999999999998</v>
      </c>
      <c r="U6" s="11">
        <v>100</v>
      </c>
      <c r="V6" s="11">
        <v>23</v>
      </c>
      <c r="W6" s="11">
        <v>55</v>
      </c>
      <c r="X6" s="14">
        <v>1531.8</v>
      </c>
      <c r="Y6" s="11">
        <v>593.71</v>
      </c>
      <c r="Z6" s="11">
        <v>913.40000000000009</v>
      </c>
      <c r="AA6" s="11">
        <v>776.3900000000001</v>
      </c>
      <c r="AB6" s="11">
        <v>1141.75</v>
      </c>
      <c r="AC6" s="11">
        <v>1370.1</v>
      </c>
    </row>
    <row r="7" spans="1:29" x14ac:dyDescent="0.2">
      <c r="A7" s="5" t="s">
        <v>23</v>
      </c>
      <c r="B7" s="6">
        <v>6</v>
      </c>
      <c r="C7" s="15" t="s">
        <v>24</v>
      </c>
      <c r="D7" s="8">
        <v>19</v>
      </c>
      <c r="E7" s="7" t="s">
        <v>46</v>
      </c>
      <c r="F7" s="7" t="s">
        <v>52</v>
      </c>
      <c r="G7" s="9">
        <v>4567</v>
      </c>
      <c r="H7" s="10" t="s">
        <v>27</v>
      </c>
      <c r="I7" s="11">
        <v>132</v>
      </c>
      <c r="J7" s="11">
        <v>333</v>
      </c>
      <c r="K7" s="11">
        <v>53</v>
      </c>
      <c r="L7" s="11">
        <v>250</v>
      </c>
      <c r="M7" s="12">
        <v>134</v>
      </c>
      <c r="N7" s="11">
        <v>65</v>
      </c>
      <c r="O7" s="11">
        <v>134</v>
      </c>
      <c r="P7" s="11">
        <v>6</v>
      </c>
      <c r="Q7" s="13" t="s">
        <v>42</v>
      </c>
      <c r="R7" s="6">
        <v>295.41000000000003</v>
      </c>
      <c r="S7" s="7">
        <v>354</v>
      </c>
      <c r="T7" s="11">
        <v>247.79999999999998</v>
      </c>
      <c r="U7" s="11">
        <v>100</v>
      </c>
      <c r="V7" s="11">
        <v>23</v>
      </c>
      <c r="W7" s="11">
        <v>55</v>
      </c>
      <c r="X7" s="14">
        <v>1532.8</v>
      </c>
      <c r="Y7" s="11">
        <v>593.71</v>
      </c>
      <c r="Z7" s="11">
        <v>913.40000000000009</v>
      </c>
      <c r="AA7" s="11">
        <v>776.3900000000001</v>
      </c>
      <c r="AB7" s="11">
        <v>1141.75</v>
      </c>
      <c r="AC7" s="11">
        <v>1370.1</v>
      </c>
    </row>
    <row r="8" spans="1:29" x14ac:dyDescent="0.2">
      <c r="A8" s="5" t="s">
        <v>23</v>
      </c>
      <c r="B8" s="6">
        <v>14</v>
      </c>
      <c r="C8" s="15" t="s">
        <v>24</v>
      </c>
      <c r="D8" s="8">
        <v>20</v>
      </c>
      <c r="E8" s="7" t="s">
        <v>46</v>
      </c>
      <c r="F8" s="7" t="s">
        <v>54</v>
      </c>
      <c r="G8" s="9">
        <v>4567</v>
      </c>
      <c r="H8" s="10" t="s">
        <v>27</v>
      </c>
      <c r="I8" s="11">
        <v>132</v>
      </c>
      <c r="J8" s="11">
        <v>333</v>
      </c>
      <c r="K8" s="11">
        <v>54</v>
      </c>
      <c r="L8" s="11">
        <v>250</v>
      </c>
      <c r="M8" s="12">
        <v>134</v>
      </c>
      <c r="N8" s="11">
        <v>65</v>
      </c>
      <c r="O8" s="11">
        <v>134</v>
      </c>
      <c r="P8" s="11">
        <v>6</v>
      </c>
      <c r="Q8" s="13" t="s">
        <v>43</v>
      </c>
      <c r="R8" s="6">
        <v>295.41000000000003</v>
      </c>
      <c r="S8" s="7">
        <v>354</v>
      </c>
      <c r="T8" s="11">
        <v>247.79999999999998</v>
      </c>
      <c r="U8" s="11">
        <v>100</v>
      </c>
      <c r="V8" s="11">
        <v>23</v>
      </c>
      <c r="W8" s="11">
        <v>55</v>
      </c>
      <c r="X8" s="14">
        <v>1533.8</v>
      </c>
      <c r="Y8" s="11">
        <v>593.71</v>
      </c>
      <c r="Z8" s="11">
        <v>913.40000000000009</v>
      </c>
      <c r="AA8" s="11">
        <v>776.3900000000001</v>
      </c>
      <c r="AB8" s="11">
        <v>1141.75</v>
      </c>
      <c r="AC8" s="11">
        <v>1370.1</v>
      </c>
    </row>
    <row r="9" spans="1:29" x14ac:dyDescent="0.2">
      <c r="A9" s="5" t="s">
        <v>25</v>
      </c>
      <c r="B9" s="6">
        <v>2</v>
      </c>
      <c r="C9" s="15" t="s">
        <v>26</v>
      </c>
      <c r="D9" s="8">
        <v>21</v>
      </c>
      <c r="E9" s="7" t="s">
        <v>46</v>
      </c>
      <c r="F9" s="7" t="s">
        <v>51</v>
      </c>
      <c r="G9" s="9">
        <v>3458</v>
      </c>
      <c r="H9" s="10" t="s">
        <v>27</v>
      </c>
      <c r="I9" s="11">
        <v>132</v>
      </c>
      <c r="J9" s="11">
        <v>453</v>
      </c>
      <c r="K9" s="11">
        <v>55</v>
      </c>
      <c r="L9" s="11">
        <v>250</v>
      </c>
      <c r="M9" s="12">
        <v>121</v>
      </c>
      <c r="N9" s="11">
        <v>32</v>
      </c>
      <c r="O9" s="11">
        <v>56</v>
      </c>
      <c r="P9" s="11">
        <v>56</v>
      </c>
      <c r="Q9" s="13" t="s">
        <v>40</v>
      </c>
      <c r="R9" s="6">
        <v>295.41000000000003</v>
      </c>
      <c r="S9" s="7">
        <v>333</v>
      </c>
      <c r="T9" s="11">
        <v>233.1</v>
      </c>
      <c r="U9" s="11">
        <v>100</v>
      </c>
      <c r="V9" s="11">
        <v>24</v>
      </c>
      <c r="W9" s="11">
        <v>56</v>
      </c>
      <c r="X9" s="14">
        <v>1568.1</v>
      </c>
      <c r="Y9" s="11">
        <v>449.54</v>
      </c>
      <c r="Z9" s="11">
        <v>691.6</v>
      </c>
      <c r="AA9" s="11">
        <v>587.86</v>
      </c>
      <c r="AB9" s="11">
        <v>864.5</v>
      </c>
      <c r="AC9" s="11">
        <v>1037.3999999999999</v>
      </c>
    </row>
    <row r="10" spans="1:29" x14ac:dyDescent="0.2">
      <c r="A10" s="5" t="s">
        <v>25</v>
      </c>
      <c r="B10" s="6">
        <v>3</v>
      </c>
      <c r="C10" s="7" t="s">
        <v>26</v>
      </c>
      <c r="D10" s="8">
        <v>22</v>
      </c>
      <c r="E10" s="7" t="s">
        <v>47</v>
      </c>
      <c r="F10" s="7" t="s">
        <v>50</v>
      </c>
      <c r="G10" s="9">
        <v>3458</v>
      </c>
      <c r="H10" s="10" t="s">
        <v>27</v>
      </c>
      <c r="I10" s="11">
        <v>132</v>
      </c>
      <c r="J10" s="11">
        <v>453</v>
      </c>
      <c r="K10" s="11">
        <v>56</v>
      </c>
      <c r="L10" s="11">
        <v>250</v>
      </c>
      <c r="M10" s="12">
        <v>121</v>
      </c>
      <c r="N10" s="11">
        <v>32</v>
      </c>
      <c r="O10" s="11">
        <v>56</v>
      </c>
      <c r="P10" s="11">
        <v>56</v>
      </c>
      <c r="Q10" s="13" t="s">
        <v>41</v>
      </c>
      <c r="R10" s="6">
        <v>295.41000000000003</v>
      </c>
      <c r="S10" s="7">
        <v>333</v>
      </c>
      <c r="T10" s="11">
        <v>233.1</v>
      </c>
      <c r="U10" s="11">
        <v>100</v>
      </c>
      <c r="V10" s="11">
        <v>24</v>
      </c>
      <c r="W10" s="11">
        <v>56</v>
      </c>
      <c r="X10" s="14">
        <v>1569.1</v>
      </c>
      <c r="Y10" s="11">
        <v>449.54</v>
      </c>
      <c r="Z10" s="11">
        <v>691.6</v>
      </c>
      <c r="AA10" s="11">
        <v>587.86</v>
      </c>
      <c r="AB10" s="11">
        <v>864.5</v>
      </c>
      <c r="AC10" s="11">
        <v>1037.3999999999999</v>
      </c>
    </row>
    <row r="11" spans="1:29" x14ac:dyDescent="0.2">
      <c r="A11" s="5" t="s">
        <v>25</v>
      </c>
      <c r="B11" s="6">
        <v>7</v>
      </c>
      <c r="C11" s="15" t="s">
        <v>24</v>
      </c>
      <c r="D11" s="8">
        <v>22.7</v>
      </c>
      <c r="E11" s="7" t="s">
        <v>47</v>
      </c>
      <c r="F11" s="7" t="s">
        <v>51</v>
      </c>
      <c r="G11" s="9">
        <v>3458</v>
      </c>
      <c r="H11" s="10" t="s">
        <v>27</v>
      </c>
      <c r="I11" s="11">
        <v>132</v>
      </c>
      <c r="J11" s="11">
        <v>453</v>
      </c>
      <c r="K11" s="11">
        <v>57</v>
      </c>
      <c r="L11" s="11">
        <v>250</v>
      </c>
      <c r="M11" s="12">
        <v>121</v>
      </c>
      <c r="N11" s="11">
        <v>32</v>
      </c>
      <c r="O11" s="11">
        <v>56</v>
      </c>
      <c r="P11" s="11">
        <v>56</v>
      </c>
      <c r="Q11" s="13" t="s">
        <v>43</v>
      </c>
      <c r="R11" s="6">
        <v>295.41000000000003</v>
      </c>
      <c r="S11" s="7">
        <v>333</v>
      </c>
      <c r="T11" s="11">
        <v>233.1</v>
      </c>
      <c r="U11" s="11">
        <v>100</v>
      </c>
      <c r="V11" s="11">
        <v>24</v>
      </c>
      <c r="W11" s="11">
        <v>56</v>
      </c>
      <c r="X11" s="14">
        <v>1570.1</v>
      </c>
      <c r="Y11" s="11">
        <v>449.54</v>
      </c>
      <c r="Z11" s="11">
        <v>691.6</v>
      </c>
      <c r="AA11" s="11">
        <v>587.86</v>
      </c>
      <c r="AB11" s="11">
        <v>864.5</v>
      </c>
      <c r="AC11" s="11">
        <v>1037.3999999999999</v>
      </c>
    </row>
    <row r="12" spans="1:29" x14ac:dyDescent="0.2">
      <c r="A12" s="5" t="s">
        <v>25</v>
      </c>
      <c r="B12" s="6">
        <v>8</v>
      </c>
      <c r="C12" s="15" t="s">
        <v>26</v>
      </c>
      <c r="D12" s="8">
        <v>12</v>
      </c>
      <c r="E12" s="7" t="s">
        <v>46</v>
      </c>
      <c r="F12" s="7" t="s">
        <v>52</v>
      </c>
      <c r="G12" s="9">
        <v>3458</v>
      </c>
      <c r="H12" s="10" t="s">
        <v>27</v>
      </c>
      <c r="I12" s="11">
        <v>132</v>
      </c>
      <c r="J12" s="11">
        <v>453</v>
      </c>
      <c r="K12" s="11">
        <v>58</v>
      </c>
      <c r="L12" s="11">
        <v>250</v>
      </c>
      <c r="M12" s="12">
        <v>121</v>
      </c>
      <c r="N12" s="11">
        <v>32</v>
      </c>
      <c r="O12" s="11">
        <v>56</v>
      </c>
      <c r="P12" s="11">
        <v>56</v>
      </c>
      <c r="Q12" s="13" t="s">
        <v>43</v>
      </c>
      <c r="R12" s="6">
        <v>295.41000000000003</v>
      </c>
      <c r="S12" s="7">
        <v>333</v>
      </c>
      <c r="T12" s="11">
        <v>233.1</v>
      </c>
      <c r="U12" s="11">
        <v>100</v>
      </c>
      <c r="V12" s="11">
        <v>24</v>
      </c>
      <c r="W12" s="11">
        <v>56</v>
      </c>
      <c r="X12" s="14">
        <v>1571.1</v>
      </c>
      <c r="Y12" s="11">
        <v>449.54</v>
      </c>
      <c r="Z12" s="11">
        <v>691.6</v>
      </c>
      <c r="AA12" s="11">
        <v>587.86</v>
      </c>
      <c r="AB12" s="11">
        <v>864.5</v>
      </c>
      <c r="AC12" s="11">
        <v>1037.3999999999999</v>
      </c>
    </row>
    <row r="13" spans="1:29" x14ac:dyDescent="0.2">
      <c r="A13" s="5" t="s">
        <v>25</v>
      </c>
      <c r="B13" s="6">
        <v>9</v>
      </c>
      <c r="C13" s="7" t="s">
        <v>22</v>
      </c>
      <c r="D13" s="8">
        <v>13</v>
      </c>
      <c r="E13" s="7" t="s">
        <v>47</v>
      </c>
      <c r="F13" s="7" t="s">
        <v>49</v>
      </c>
      <c r="G13" s="9">
        <v>3458</v>
      </c>
      <c r="H13" s="10" t="s">
        <v>27</v>
      </c>
      <c r="I13" s="11">
        <v>132</v>
      </c>
      <c r="J13" s="11">
        <v>453</v>
      </c>
      <c r="K13" s="11">
        <v>59</v>
      </c>
      <c r="L13" s="11">
        <v>250</v>
      </c>
      <c r="M13" s="12">
        <v>121</v>
      </c>
      <c r="N13" s="11"/>
      <c r="O13" s="11">
        <v>56</v>
      </c>
      <c r="P13" s="11">
        <v>56</v>
      </c>
      <c r="Q13" s="13" t="s">
        <v>40</v>
      </c>
      <c r="R13" s="6">
        <v>295.41000000000003</v>
      </c>
      <c r="S13" s="7">
        <v>333</v>
      </c>
      <c r="T13" s="11">
        <v>233.1</v>
      </c>
      <c r="U13" s="11">
        <v>100</v>
      </c>
      <c r="V13" s="11">
        <v>24</v>
      </c>
      <c r="W13" s="11">
        <v>56</v>
      </c>
      <c r="X13" s="14">
        <v>1540.1</v>
      </c>
      <c r="Y13" s="11">
        <v>449.54</v>
      </c>
      <c r="Z13" s="11">
        <v>691.6</v>
      </c>
      <c r="AA13" s="11">
        <v>587.86</v>
      </c>
      <c r="AB13" s="11">
        <v>864.5</v>
      </c>
      <c r="AC13" s="11">
        <v>1037.3999999999999</v>
      </c>
    </row>
    <row r="14" spans="1:29" x14ac:dyDescent="0.2">
      <c r="A14" s="5" t="s">
        <v>28</v>
      </c>
      <c r="B14" s="6">
        <v>12</v>
      </c>
      <c r="C14" s="15" t="s">
        <v>22</v>
      </c>
      <c r="D14" s="8">
        <v>16</v>
      </c>
      <c r="E14" s="7" t="s">
        <v>46</v>
      </c>
      <c r="F14" s="7" t="s">
        <v>55</v>
      </c>
      <c r="G14" s="9">
        <v>6433</v>
      </c>
      <c r="H14" s="10" t="s">
        <v>29</v>
      </c>
      <c r="I14" s="11">
        <v>132</v>
      </c>
      <c r="J14" s="11">
        <v>399</v>
      </c>
      <c r="K14" s="11">
        <v>72</v>
      </c>
      <c r="L14" s="11">
        <v>250</v>
      </c>
      <c r="M14" s="12">
        <v>134</v>
      </c>
      <c r="N14" s="11"/>
      <c r="O14" s="11">
        <v>134</v>
      </c>
      <c r="P14" s="11">
        <v>6</v>
      </c>
      <c r="Q14" s="13" t="s">
        <v>41</v>
      </c>
      <c r="R14" s="6">
        <v>295.41000000000003</v>
      </c>
      <c r="S14" s="7">
        <v>343</v>
      </c>
      <c r="T14" s="11">
        <v>240.1</v>
      </c>
      <c r="U14" s="11">
        <v>100</v>
      </c>
      <c r="V14" s="11">
        <v>25</v>
      </c>
      <c r="W14" s="11">
        <v>57</v>
      </c>
      <c r="X14" s="14">
        <v>1549.1</v>
      </c>
      <c r="Y14" s="11">
        <v>836.29000000000008</v>
      </c>
      <c r="Z14" s="11">
        <v>1286.6000000000001</v>
      </c>
      <c r="AA14" s="11">
        <v>1093.6100000000001</v>
      </c>
      <c r="AB14" s="11">
        <v>1608.25</v>
      </c>
      <c r="AC14" s="11">
        <v>1929.8999999999999</v>
      </c>
    </row>
    <row r="15" spans="1:29" x14ac:dyDescent="0.2">
      <c r="A15" s="5" t="s">
        <v>28</v>
      </c>
      <c r="B15" s="6">
        <v>16</v>
      </c>
      <c r="C15" s="15" t="s">
        <v>24</v>
      </c>
      <c r="D15" s="8">
        <v>17</v>
      </c>
      <c r="E15" s="7" t="s">
        <v>47</v>
      </c>
      <c r="F15" s="7" t="s">
        <v>53</v>
      </c>
      <c r="G15" s="9">
        <v>6433</v>
      </c>
      <c r="H15" s="10" t="s">
        <v>29</v>
      </c>
      <c r="I15" s="11">
        <v>132</v>
      </c>
      <c r="J15" s="11">
        <v>399</v>
      </c>
      <c r="K15" s="11">
        <v>73</v>
      </c>
      <c r="L15" s="11">
        <v>250</v>
      </c>
      <c r="M15" s="12">
        <v>134</v>
      </c>
      <c r="N15" s="11">
        <v>65</v>
      </c>
      <c r="O15" s="11">
        <v>134</v>
      </c>
      <c r="P15" s="11">
        <v>6</v>
      </c>
      <c r="Q15" s="13" t="s">
        <v>42</v>
      </c>
      <c r="R15" s="6">
        <v>295.41000000000003</v>
      </c>
      <c r="S15" s="7">
        <v>343</v>
      </c>
      <c r="T15" s="11">
        <v>240.1</v>
      </c>
      <c r="U15" s="11">
        <v>100</v>
      </c>
      <c r="V15" s="11">
        <v>25</v>
      </c>
      <c r="W15" s="11">
        <v>57</v>
      </c>
      <c r="X15" s="14">
        <v>1615.1</v>
      </c>
      <c r="Y15" s="11">
        <v>836.29000000000008</v>
      </c>
      <c r="Z15" s="11">
        <v>1286.6000000000001</v>
      </c>
      <c r="AA15" s="11">
        <v>1093.6100000000001</v>
      </c>
      <c r="AB15" s="11">
        <v>1608.25</v>
      </c>
      <c r="AC15" s="11">
        <v>1929.8999999999999</v>
      </c>
    </row>
    <row r="16" spans="1:29" x14ac:dyDescent="0.2">
      <c r="A16" s="5" t="s">
        <v>28</v>
      </c>
      <c r="B16" s="6">
        <v>22</v>
      </c>
      <c r="C16" s="15" t="s">
        <v>22</v>
      </c>
      <c r="D16" s="8">
        <v>18</v>
      </c>
      <c r="E16" s="7" t="s">
        <v>47</v>
      </c>
      <c r="F16" s="7" t="s">
        <v>51</v>
      </c>
      <c r="G16" s="9">
        <v>6433</v>
      </c>
      <c r="H16" s="10" t="s">
        <v>29</v>
      </c>
      <c r="I16" s="11">
        <v>132</v>
      </c>
      <c r="J16" s="11">
        <v>399</v>
      </c>
      <c r="K16" s="11">
        <v>74</v>
      </c>
      <c r="L16" s="11">
        <v>250</v>
      </c>
      <c r="M16" s="12">
        <v>134</v>
      </c>
      <c r="N16" s="11">
        <v>65</v>
      </c>
      <c r="O16" s="11">
        <v>134</v>
      </c>
      <c r="P16" s="11">
        <v>6</v>
      </c>
      <c r="Q16" s="13" t="s">
        <v>43</v>
      </c>
      <c r="R16" s="6">
        <v>295.41000000000003</v>
      </c>
      <c r="S16" s="7">
        <v>343</v>
      </c>
      <c r="T16" s="11">
        <v>240.1</v>
      </c>
      <c r="U16" s="11">
        <v>100</v>
      </c>
      <c r="V16" s="11">
        <v>25</v>
      </c>
      <c r="W16" s="11">
        <v>57</v>
      </c>
      <c r="X16" s="14">
        <v>1616.1</v>
      </c>
      <c r="Y16" s="11">
        <v>836.29000000000008</v>
      </c>
      <c r="Z16" s="11">
        <v>1286.6000000000001</v>
      </c>
      <c r="AA16" s="11">
        <v>1093.6100000000001</v>
      </c>
      <c r="AB16" s="11">
        <v>1608.25</v>
      </c>
      <c r="AC16" s="11">
        <v>1929.8999999999999</v>
      </c>
    </row>
    <row r="17" spans="1:29" x14ac:dyDescent="0.2">
      <c r="A17" s="5" t="s">
        <v>30</v>
      </c>
      <c r="B17" s="6">
        <v>5</v>
      </c>
      <c r="C17" s="7" t="s">
        <v>24</v>
      </c>
      <c r="D17" s="8">
        <v>11</v>
      </c>
      <c r="E17" s="7" t="s">
        <v>46</v>
      </c>
      <c r="F17" s="7" t="s">
        <v>54</v>
      </c>
      <c r="G17" s="9">
        <v>8765</v>
      </c>
      <c r="H17" s="10" t="s">
        <v>29</v>
      </c>
      <c r="I17" s="11">
        <v>132</v>
      </c>
      <c r="J17" s="11">
        <v>387</v>
      </c>
      <c r="K17" s="11">
        <v>50</v>
      </c>
      <c r="L17" s="11">
        <v>250</v>
      </c>
      <c r="M17" s="12">
        <v>128</v>
      </c>
      <c r="N17" s="11">
        <v>34</v>
      </c>
      <c r="O17" s="11">
        <v>128</v>
      </c>
      <c r="P17" s="11">
        <v>46</v>
      </c>
      <c r="Q17" s="13" t="s">
        <v>40</v>
      </c>
      <c r="R17" s="6">
        <v>333</v>
      </c>
      <c r="S17" s="7">
        <v>343</v>
      </c>
      <c r="T17" s="11">
        <v>240.1</v>
      </c>
      <c r="U17" s="11">
        <v>100</v>
      </c>
      <c r="V17" s="11">
        <v>26</v>
      </c>
      <c r="W17" s="11">
        <v>58</v>
      </c>
      <c r="X17" s="14">
        <v>1579.1</v>
      </c>
      <c r="Y17" s="11">
        <v>1139.45</v>
      </c>
      <c r="Z17" s="11">
        <v>1753</v>
      </c>
      <c r="AA17" s="11">
        <v>1490.0500000000002</v>
      </c>
      <c r="AB17" s="11">
        <v>2191.25</v>
      </c>
      <c r="AC17" s="11">
        <v>2629.5</v>
      </c>
    </row>
    <row r="18" spans="1:29" x14ac:dyDescent="0.2">
      <c r="A18" s="5" t="s">
        <v>30</v>
      </c>
      <c r="B18" s="6">
        <v>13</v>
      </c>
      <c r="C18" s="15" t="s">
        <v>24</v>
      </c>
      <c r="D18" s="8">
        <v>21</v>
      </c>
      <c r="E18" s="7" t="s">
        <v>46</v>
      </c>
      <c r="F18" s="7" t="s">
        <v>53</v>
      </c>
      <c r="G18" s="9">
        <v>8765</v>
      </c>
      <c r="H18" s="10" t="s">
        <v>29</v>
      </c>
      <c r="I18" s="11">
        <v>132</v>
      </c>
      <c r="J18" s="11">
        <v>387</v>
      </c>
      <c r="K18" s="11">
        <v>50</v>
      </c>
      <c r="L18" s="11">
        <v>250</v>
      </c>
      <c r="M18" s="12">
        <v>128</v>
      </c>
      <c r="N18" s="11">
        <v>34</v>
      </c>
      <c r="O18" s="11">
        <v>128</v>
      </c>
      <c r="P18" s="11">
        <v>46</v>
      </c>
      <c r="Q18" s="13" t="s">
        <v>41</v>
      </c>
      <c r="R18" s="6">
        <v>333</v>
      </c>
      <c r="S18" s="7">
        <v>343</v>
      </c>
      <c r="T18" s="11">
        <v>240.1</v>
      </c>
      <c r="U18" s="11">
        <v>100</v>
      </c>
      <c r="V18" s="11">
        <v>26</v>
      </c>
      <c r="W18" s="11">
        <v>58</v>
      </c>
      <c r="X18" s="14">
        <v>1579.1</v>
      </c>
      <c r="Y18" s="11">
        <v>1139.45</v>
      </c>
      <c r="Z18" s="11">
        <v>1753</v>
      </c>
      <c r="AA18" s="11">
        <v>1490.0500000000002</v>
      </c>
      <c r="AB18" s="11">
        <v>2191.25</v>
      </c>
      <c r="AC18" s="11">
        <v>2629.5</v>
      </c>
    </row>
    <row r="19" spans="1:29" x14ac:dyDescent="0.2">
      <c r="A19" s="5" t="s">
        <v>30</v>
      </c>
      <c r="B19" s="6">
        <v>14</v>
      </c>
      <c r="C19" s="15" t="s">
        <v>24</v>
      </c>
      <c r="D19" s="8">
        <v>22</v>
      </c>
      <c r="E19" s="7" t="s">
        <v>46</v>
      </c>
      <c r="F19" s="7" t="s">
        <v>52</v>
      </c>
      <c r="G19" s="9">
        <v>8765</v>
      </c>
      <c r="H19" s="10" t="s">
        <v>29</v>
      </c>
      <c r="I19" s="11">
        <v>132</v>
      </c>
      <c r="J19" s="11">
        <v>387</v>
      </c>
      <c r="K19" s="11">
        <v>50</v>
      </c>
      <c r="L19" s="11">
        <v>250</v>
      </c>
      <c r="M19" s="12">
        <v>128</v>
      </c>
      <c r="N19" s="11">
        <v>34</v>
      </c>
      <c r="O19" s="11">
        <v>128</v>
      </c>
      <c r="P19" s="11">
        <v>46</v>
      </c>
      <c r="Q19" s="13" t="s">
        <v>42</v>
      </c>
      <c r="R19" s="6">
        <v>333</v>
      </c>
      <c r="S19" s="7">
        <v>343</v>
      </c>
      <c r="T19" s="11">
        <v>240.1</v>
      </c>
      <c r="U19" s="11">
        <v>100</v>
      </c>
      <c r="V19" s="11">
        <v>26</v>
      </c>
      <c r="W19" s="11">
        <v>58</v>
      </c>
      <c r="X19" s="14">
        <v>1579.1</v>
      </c>
      <c r="Y19" s="11">
        <v>1139.45</v>
      </c>
      <c r="Z19" s="11">
        <v>1753</v>
      </c>
      <c r="AA19" s="11">
        <v>1490.0500000000002</v>
      </c>
      <c r="AB19" s="11">
        <v>2191.25</v>
      </c>
      <c r="AC19" s="11">
        <v>2629.5</v>
      </c>
    </row>
    <row r="20" spans="1:29" x14ac:dyDescent="0.2">
      <c r="A20" s="5" t="s">
        <v>30</v>
      </c>
      <c r="B20" s="6">
        <v>15</v>
      </c>
      <c r="C20" s="15" t="s">
        <v>26</v>
      </c>
      <c r="D20" s="8">
        <v>23</v>
      </c>
      <c r="E20" s="7" t="s">
        <v>47</v>
      </c>
      <c r="F20" s="7" t="s">
        <v>54</v>
      </c>
      <c r="G20" s="9">
        <v>8765</v>
      </c>
      <c r="H20" s="10" t="s">
        <v>29</v>
      </c>
      <c r="I20" s="11">
        <v>132</v>
      </c>
      <c r="J20" s="11">
        <v>387</v>
      </c>
      <c r="K20" s="11">
        <v>50</v>
      </c>
      <c r="L20" s="11">
        <v>250</v>
      </c>
      <c r="M20" s="12">
        <v>128</v>
      </c>
      <c r="N20" s="11">
        <v>34</v>
      </c>
      <c r="O20" s="11">
        <v>128</v>
      </c>
      <c r="P20" s="11">
        <v>46</v>
      </c>
      <c r="Q20" s="13" t="s">
        <v>43</v>
      </c>
      <c r="R20" s="6">
        <v>333</v>
      </c>
      <c r="S20" s="7">
        <v>343</v>
      </c>
      <c r="T20" s="11">
        <v>240.1</v>
      </c>
      <c r="U20" s="11">
        <v>100</v>
      </c>
      <c r="V20" s="11">
        <v>26</v>
      </c>
      <c r="W20" s="11">
        <v>58</v>
      </c>
      <c r="X20" s="14">
        <v>1579.1</v>
      </c>
      <c r="Y20" s="11">
        <v>1139.45</v>
      </c>
      <c r="Z20" s="11">
        <v>1753</v>
      </c>
      <c r="AA20" s="11">
        <v>1490.0500000000002</v>
      </c>
      <c r="AB20" s="11">
        <v>2191.25</v>
      </c>
      <c r="AC20" s="11">
        <v>2629.5</v>
      </c>
    </row>
    <row r="21" spans="1:29" x14ac:dyDescent="0.2">
      <c r="A21" s="5" t="s">
        <v>31</v>
      </c>
      <c r="B21" s="6">
        <v>17</v>
      </c>
      <c r="C21" s="15" t="s">
        <v>26</v>
      </c>
      <c r="D21" s="8">
        <v>12.9</v>
      </c>
      <c r="E21" s="7" t="s">
        <v>46</v>
      </c>
      <c r="F21" s="7" t="s">
        <v>51</v>
      </c>
      <c r="G21" s="9">
        <v>5432</v>
      </c>
      <c r="H21" s="10" t="s">
        <v>29</v>
      </c>
      <c r="I21" s="11">
        <v>132</v>
      </c>
      <c r="J21" s="11">
        <v>245</v>
      </c>
      <c r="K21" s="11">
        <v>50</v>
      </c>
      <c r="L21" s="11">
        <v>250</v>
      </c>
      <c r="M21" s="12">
        <v>120</v>
      </c>
      <c r="N21" s="11"/>
      <c r="O21" s="11">
        <v>120</v>
      </c>
      <c r="P21" s="11">
        <v>66</v>
      </c>
      <c r="Q21" s="13" t="s">
        <v>40</v>
      </c>
      <c r="R21" s="6">
        <v>295.41000000000003</v>
      </c>
      <c r="S21" s="7">
        <v>343</v>
      </c>
      <c r="T21" s="11">
        <v>240.1</v>
      </c>
      <c r="U21" s="11">
        <v>100</v>
      </c>
      <c r="V21" s="11">
        <v>27</v>
      </c>
      <c r="W21" s="11">
        <v>59</v>
      </c>
      <c r="X21" s="14">
        <v>1409.1</v>
      </c>
      <c r="Y21" s="11">
        <v>706.16</v>
      </c>
      <c r="Z21" s="11">
        <v>1086.4000000000001</v>
      </c>
      <c r="AA21" s="11">
        <v>923.44</v>
      </c>
      <c r="AB21" s="11">
        <v>1358</v>
      </c>
      <c r="AC21" s="11">
        <v>1629.6</v>
      </c>
    </row>
    <row r="22" spans="1:29" x14ac:dyDescent="0.2">
      <c r="A22" s="5" t="s">
        <v>31</v>
      </c>
      <c r="B22" s="6">
        <v>18</v>
      </c>
      <c r="C22" s="15" t="s">
        <v>26</v>
      </c>
      <c r="D22" s="8">
        <v>12.9</v>
      </c>
      <c r="E22" s="7" t="s">
        <v>46</v>
      </c>
      <c r="F22" s="7" t="s">
        <v>52</v>
      </c>
      <c r="G22" s="9">
        <v>5432</v>
      </c>
      <c r="H22" s="10" t="s">
        <v>29</v>
      </c>
      <c r="I22" s="11">
        <v>132</v>
      </c>
      <c r="J22" s="11">
        <v>245</v>
      </c>
      <c r="K22" s="11">
        <v>50</v>
      </c>
      <c r="L22" s="11">
        <v>250</v>
      </c>
      <c r="M22" s="12">
        <v>120</v>
      </c>
      <c r="N22" s="11"/>
      <c r="O22" s="11">
        <v>120</v>
      </c>
      <c r="P22" s="11">
        <v>66</v>
      </c>
      <c r="Q22" s="13" t="s">
        <v>41</v>
      </c>
      <c r="R22" s="6">
        <v>295.41000000000003</v>
      </c>
      <c r="S22" s="7">
        <v>343</v>
      </c>
      <c r="T22" s="11">
        <v>240.1</v>
      </c>
      <c r="U22" s="11">
        <v>100</v>
      </c>
      <c r="V22" s="11">
        <v>27</v>
      </c>
      <c r="W22" s="11">
        <v>59</v>
      </c>
      <c r="X22" s="14">
        <v>1409.1</v>
      </c>
      <c r="Y22" s="11">
        <v>706.16</v>
      </c>
      <c r="Z22" s="11">
        <v>1086.4000000000001</v>
      </c>
      <c r="AA22" s="11">
        <v>923.44</v>
      </c>
      <c r="AB22" s="11">
        <v>1358</v>
      </c>
      <c r="AC22" s="11">
        <v>1629.6</v>
      </c>
    </row>
    <row r="23" spans="1:29" x14ac:dyDescent="0.2">
      <c r="A23" s="5" t="s">
        <v>31</v>
      </c>
      <c r="B23" s="6">
        <v>18</v>
      </c>
      <c r="C23" s="15" t="s">
        <v>26</v>
      </c>
      <c r="D23" s="8">
        <v>21</v>
      </c>
      <c r="E23" s="7" t="s">
        <v>46</v>
      </c>
      <c r="F23" s="7" t="s">
        <v>53</v>
      </c>
      <c r="G23" s="9">
        <v>5432</v>
      </c>
      <c r="H23" s="10" t="s">
        <v>29</v>
      </c>
      <c r="I23" s="11">
        <v>132</v>
      </c>
      <c r="J23" s="11">
        <v>245</v>
      </c>
      <c r="K23" s="11">
        <v>50</v>
      </c>
      <c r="L23" s="11">
        <v>250</v>
      </c>
      <c r="M23" s="12">
        <v>120</v>
      </c>
      <c r="N23" s="11"/>
      <c r="O23" s="11">
        <v>120</v>
      </c>
      <c r="P23" s="11">
        <v>66</v>
      </c>
      <c r="Q23" s="13" t="s">
        <v>42</v>
      </c>
      <c r="R23" s="6">
        <v>295.41000000000003</v>
      </c>
      <c r="S23" s="7">
        <v>343</v>
      </c>
      <c r="T23" s="11">
        <v>240.1</v>
      </c>
      <c r="U23" s="11">
        <v>100</v>
      </c>
      <c r="V23" s="11">
        <v>27</v>
      </c>
      <c r="W23" s="11">
        <v>59</v>
      </c>
      <c r="X23" s="14">
        <v>1409.1</v>
      </c>
      <c r="Y23" s="11">
        <v>706.16</v>
      </c>
      <c r="Z23" s="11">
        <v>1086.4000000000001</v>
      </c>
      <c r="AA23" s="11">
        <v>923.44</v>
      </c>
      <c r="AB23" s="11">
        <v>1358</v>
      </c>
      <c r="AC23" s="11">
        <v>1629.6</v>
      </c>
    </row>
    <row r="24" spans="1:29" x14ac:dyDescent="0.2">
      <c r="A24" s="5" t="s">
        <v>31</v>
      </c>
      <c r="B24" s="6">
        <v>24</v>
      </c>
      <c r="C24" s="15" t="s">
        <v>26</v>
      </c>
      <c r="D24" s="8">
        <v>22</v>
      </c>
      <c r="E24" s="7" t="s">
        <v>47</v>
      </c>
      <c r="F24" s="7" t="s">
        <v>53</v>
      </c>
      <c r="G24" s="9">
        <v>5432</v>
      </c>
      <c r="H24" s="10" t="s">
        <v>29</v>
      </c>
      <c r="I24" s="11">
        <v>132</v>
      </c>
      <c r="J24" s="11">
        <v>245</v>
      </c>
      <c r="K24" s="11">
        <v>50</v>
      </c>
      <c r="L24" s="11">
        <v>250</v>
      </c>
      <c r="M24" s="12">
        <v>120</v>
      </c>
      <c r="N24" s="11"/>
      <c r="O24" s="11">
        <v>120</v>
      </c>
      <c r="P24" s="11">
        <v>66</v>
      </c>
      <c r="Q24" s="13" t="s">
        <v>43</v>
      </c>
      <c r="R24" s="6">
        <v>295.41000000000003</v>
      </c>
      <c r="S24" s="7">
        <v>343</v>
      </c>
      <c r="T24" s="11">
        <v>240.1</v>
      </c>
      <c r="U24" s="11">
        <v>100</v>
      </c>
      <c r="V24" s="11">
        <v>27</v>
      </c>
      <c r="W24" s="11">
        <v>59</v>
      </c>
      <c r="X24" s="14">
        <v>1409.1</v>
      </c>
      <c r="Y24" s="11">
        <v>706.16</v>
      </c>
      <c r="Z24" s="11">
        <v>1086.4000000000001</v>
      </c>
      <c r="AA24" s="11">
        <v>923.44</v>
      </c>
      <c r="AB24" s="11">
        <v>1358</v>
      </c>
      <c r="AC24" s="11">
        <v>1629.6</v>
      </c>
    </row>
    <row r="25" spans="1:29" x14ac:dyDescent="0.2">
      <c r="A25" s="5" t="s">
        <v>33</v>
      </c>
      <c r="B25" s="6">
        <v>7</v>
      </c>
      <c r="C25" s="7" t="s">
        <v>22</v>
      </c>
      <c r="D25" s="8">
        <v>23</v>
      </c>
      <c r="E25" s="7" t="s">
        <v>47</v>
      </c>
      <c r="F25" s="7" t="s">
        <v>50</v>
      </c>
      <c r="G25" s="9">
        <v>6778</v>
      </c>
      <c r="H25" s="10" t="s">
        <v>32</v>
      </c>
      <c r="I25" s="11">
        <v>132</v>
      </c>
      <c r="J25" s="11">
        <v>400</v>
      </c>
      <c r="K25" s="11">
        <v>50</v>
      </c>
      <c r="L25" s="11">
        <v>250</v>
      </c>
      <c r="M25" s="12">
        <v>134</v>
      </c>
      <c r="N25" s="11"/>
      <c r="O25" s="11">
        <v>134</v>
      </c>
      <c r="P25" s="11">
        <v>6</v>
      </c>
      <c r="Q25" s="13" t="s">
        <v>40</v>
      </c>
      <c r="R25" s="6">
        <v>295.41000000000003</v>
      </c>
      <c r="S25" s="7">
        <v>377</v>
      </c>
      <c r="T25" s="11">
        <v>263.89999999999998</v>
      </c>
      <c r="U25" s="11">
        <v>100</v>
      </c>
      <c r="V25" s="11">
        <v>28</v>
      </c>
      <c r="W25" s="11">
        <v>60</v>
      </c>
      <c r="X25" s="14">
        <v>1557.9</v>
      </c>
      <c r="Y25" s="11">
        <v>881.14</v>
      </c>
      <c r="Z25" s="11">
        <v>1355.6000000000001</v>
      </c>
      <c r="AA25" s="11">
        <v>1152.26</v>
      </c>
      <c r="AB25" s="11">
        <v>1694.5</v>
      </c>
      <c r="AC25" s="11">
        <v>2033.3999999999999</v>
      </c>
    </row>
    <row r="26" spans="1:29" x14ac:dyDescent="0.2">
      <c r="A26" s="5" t="s">
        <v>33</v>
      </c>
      <c r="B26" s="6">
        <v>19</v>
      </c>
      <c r="C26" s="15" t="s">
        <v>22</v>
      </c>
      <c r="D26" s="8">
        <v>12</v>
      </c>
      <c r="E26" s="7" t="s">
        <v>47</v>
      </c>
      <c r="F26" s="7" t="s">
        <v>51</v>
      </c>
      <c r="G26" s="9">
        <v>6778</v>
      </c>
      <c r="H26" s="10" t="s">
        <v>32</v>
      </c>
      <c r="I26" s="11">
        <v>132</v>
      </c>
      <c r="J26" s="11">
        <v>400</v>
      </c>
      <c r="K26" s="11">
        <v>50</v>
      </c>
      <c r="L26" s="11">
        <v>250</v>
      </c>
      <c r="M26" s="12">
        <v>134</v>
      </c>
      <c r="N26" s="11">
        <v>65</v>
      </c>
      <c r="O26" s="11">
        <v>134</v>
      </c>
      <c r="P26" s="11">
        <v>6</v>
      </c>
      <c r="Q26" s="13" t="s">
        <v>41</v>
      </c>
      <c r="R26" s="6">
        <v>295.41000000000003</v>
      </c>
      <c r="S26" s="7">
        <v>377</v>
      </c>
      <c r="T26" s="11">
        <v>263.89999999999998</v>
      </c>
      <c r="U26" s="11">
        <v>100</v>
      </c>
      <c r="V26" s="11">
        <v>28</v>
      </c>
      <c r="W26" s="11">
        <v>60</v>
      </c>
      <c r="X26" s="14">
        <v>1622.9</v>
      </c>
      <c r="Y26" s="11">
        <v>881.14</v>
      </c>
      <c r="Z26" s="11">
        <v>1355.6000000000001</v>
      </c>
      <c r="AA26" s="11">
        <v>1152.26</v>
      </c>
      <c r="AB26" s="11">
        <v>1694.5</v>
      </c>
      <c r="AC26" s="11">
        <v>2033.3999999999999</v>
      </c>
    </row>
    <row r="27" spans="1:29" x14ac:dyDescent="0.2">
      <c r="A27" s="5" t="s">
        <v>33</v>
      </c>
      <c r="B27" s="6">
        <v>19</v>
      </c>
      <c r="C27" s="15" t="s">
        <v>22</v>
      </c>
      <c r="D27" s="8">
        <v>13</v>
      </c>
      <c r="E27" s="7" t="s">
        <v>46</v>
      </c>
      <c r="F27" s="7" t="s">
        <v>52</v>
      </c>
      <c r="G27" s="9">
        <v>6778</v>
      </c>
      <c r="H27" s="10" t="s">
        <v>32</v>
      </c>
      <c r="I27" s="11">
        <v>132</v>
      </c>
      <c r="J27" s="11">
        <v>400</v>
      </c>
      <c r="K27" s="11">
        <v>50</v>
      </c>
      <c r="L27" s="11">
        <v>250</v>
      </c>
      <c r="M27" s="12">
        <v>134</v>
      </c>
      <c r="N27" s="11">
        <v>65</v>
      </c>
      <c r="O27" s="11">
        <v>134</v>
      </c>
      <c r="P27" s="11">
        <v>6</v>
      </c>
      <c r="Q27" s="13" t="s">
        <v>42</v>
      </c>
      <c r="R27" s="6">
        <v>295.41000000000003</v>
      </c>
      <c r="S27" s="7">
        <v>377</v>
      </c>
      <c r="T27" s="11">
        <v>263.89999999999998</v>
      </c>
      <c r="U27" s="11">
        <v>100</v>
      </c>
      <c r="V27" s="11">
        <v>28</v>
      </c>
      <c r="W27" s="11">
        <v>60</v>
      </c>
      <c r="X27" s="14">
        <v>1622.9</v>
      </c>
      <c r="Y27" s="11">
        <v>881.14</v>
      </c>
      <c r="Z27" s="11">
        <v>1355.6000000000001</v>
      </c>
      <c r="AA27" s="11">
        <v>1152.26</v>
      </c>
      <c r="AB27" s="11">
        <v>1694.5</v>
      </c>
      <c r="AC27" s="11">
        <v>2033.3999999999999</v>
      </c>
    </row>
    <row r="28" spans="1:29" x14ac:dyDescent="0.2">
      <c r="A28" s="5" t="s">
        <v>33</v>
      </c>
      <c r="B28" s="6">
        <v>20</v>
      </c>
      <c r="C28" s="15" t="s">
        <v>22</v>
      </c>
      <c r="D28" s="8">
        <v>14</v>
      </c>
      <c r="E28" s="7" t="s">
        <v>46</v>
      </c>
      <c r="F28" s="7" t="s">
        <v>54</v>
      </c>
      <c r="G28" s="9">
        <v>6778</v>
      </c>
      <c r="H28" s="10" t="s">
        <v>32</v>
      </c>
      <c r="I28" s="11">
        <v>132</v>
      </c>
      <c r="J28" s="11">
        <v>400</v>
      </c>
      <c r="K28" s="11">
        <v>50</v>
      </c>
      <c r="L28" s="11">
        <v>250</v>
      </c>
      <c r="M28" s="12">
        <v>134</v>
      </c>
      <c r="N28" s="11">
        <v>65</v>
      </c>
      <c r="O28" s="11">
        <v>134</v>
      </c>
      <c r="P28" s="11">
        <v>6</v>
      </c>
      <c r="Q28" s="13" t="s">
        <v>43</v>
      </c>
      <c r="R28" s="6">
        <v>295.41000000000003</v>
      </c>
      <c r="S28" s="7">
        <v>377</v>
      </c>
      <c r="T28" s="11">
        <v>263.89999999999998</v>
      </c>
      <c r="U28" s="11">
        <v>100</v>
      </c>
      <c r="V28" s="11">
        <v>28</v>
      </c>
      <c r="W28" s="11">
        <v>60</v>
      </c>
      <c r="X28" s="14">
        <v>1622.9</v>
      </c>
      <c r="Y28" s="11">
        <v>881.14</v>
      </c>
      <c r="Z28" s="11">
        <v>1355.6000000000001</v>
      </c>
      <c r="AA28" s="11">
        <v>1152.26</v>
      </c>
      <c r="AB28" s="11">
        <v>1694.5</v>
      </c>
      <c r="AC28" s="11">
        <v>2033.3999999999999</v>
      </c>
    </row>
    <row r="29" spans="1:29" x14ac:dyDescent="0.2">
      <c r="A29" s="5" t="s">
        <v>33</v>
      </c>
      <c r="B29" s="6">
        <v>21</v>
      </c>
      <c r="C29" s="15" t="s">
        <v>22</v>
      </c>
      <c r="D29" s="8">
        <v>15</v>
      </c>
      <c r="E29" s="7" t="s">
        <v>46</v>
      </c>
      <c r="F29" s="7" t="s">
        <v>49</v>
      </c>
      <c r="G29" s="9">
        <v>6778</v>
      </c>
      <c r="H29" s="10" t="s">
        <v>32</v>
      </c>
      <c r="I29" s="11">
        <v>132</v>
      </c>
      <c r="J29" s="11">
        <v>400</v>
      </c>
      <c r="K29" s="11">
        <v>50</v>
      </c>
      <c r="L29" s="11">
        <v>250</v>
      </c>
      <c r="M29" s="12">
        <v>134</v>
      </c>
      <c r="N29" s="11">
        <v>65</v>
      </c>
      <c r="O29" s="11">
        <v>134</v>
      </c>
      <c r="P29" s="11">
        <v>6</v>
      </c>
      <c r="Q29" s="13" t="s">
        <v>40</v>
      </c>
      <c r="R29" s="6">
        <v>295.41000000000003</v>
      </c>
      <c r="S29" s="7">
        <v>377</v>
      </c>
      <c r="T29" s="11">
        <v>263.89999999999998</v>
      </c>
      <c r="U29" s="11">
        <v>100</v>
      </c>
      <c r="V29" s="11">
        <v>28</v>
      </c>
      <c r="W29" s="11">
        <v>60</v>
      </c>
      <c r="X29" s="14">
        <v>1622.9</v>
      </c>
      <c r="Y29" s="11">
        <v>881.14</v>
      </c>
      <c r="Z29" s="11">
        <v>1355.6000000000001</v>
      </c>
      <c r="AA29" s="11">
        <v>1152.26</v>
      </c>
      <c r="AB29" s="11">
        <v>1694.5</v>
      </c>
      <c r="AC29" s="11">
        <v>2033.3999999999999</v>
      </c>
    </row>
    <row r="30" spans="1:29" x14ac:dyDescent="0.2">
      <c r="A30" s="5" t="s">
        <v>33</v>
      </c>
      <c r="B30" s="6">
        <v>25</v>
      </c>
      <c r="C30" s="15" t="s">
        <v>22</v>
      </c>
      <c r="D30" s="8">
        <v>16</v>
      </c>
      <c r="E30" s="7" t="s">
        <v>46</v>
      </c>
      <c r="F30" s="7" t="s">
        <v>54</v>
      </c>
      <c r="G30" s="9">
        <v>6778</v>
      </c>
      <c r="H30" s="10" t="s">
        <v>32</v>
      </c>
      <c r="I30" s="11">
        <v>132</v>
      </c>
      <c r="J30" s="11">
        <v>400</v>
      </c>
      <c r="K30" s="11">
        <v>50</v>
      </c>
      <c r="L30" s="11">
        <v>250</v>
      </c>
      <c r="M30" s="12">
        <v>134</v>
      </c>
      <c r="N30" s="11">
        <v>65</v>
      </c>
      <c r="O30" s="11">
        <v>134</v>
      </c>
      <c r="P30" s="11">
        <v>6</v>
      </c>
      <c r="Q30" s="13" t="s">
        <v>41</v>
      </c>
      <c r="R30" s="6">
        <v>295.41000000000003</v>
      </c>
      <c r="S30" s="7">
        <v>377</v>
      </c>
      <c r="T30" s="11">
        <v>263.89999999999998</v>
      </c>
      <c r="U30" s="11">
        <v>100</v>
      </c>
      <c r="V30" s="11">
        <v>28</v>
      </c>
      <c r="W30" s="11">
        <v>60</v>
      </c>
      <c r="X30" s="14">
        <v>1622.9</v>
      </c>
      <c r="Y30" s="11">
        <v>881.14</v>
      </c>
      <c r="Z30" s="11">
        <v>1355.6000000000001</v>
      </c>
      <c r="AA30" s="11">
        <v>1152.26</v>
      </c>
      <c r="AB30" s="11">
        <v>1694.5</v>
      </c>
      <c r="AC30" s="11">
        <v>2033.3999999999999</v>
      </c>
    </row>
    <row r="31" spans="1:29" x14ac:dyDescent="0.2">
      <c r="A31" s="5" t="s">
        <v>33</v>
      </c>
      <c r="B31" s="6">
        <v>7</v>
      </c>
      <c r="C31" s="7" t="s">
        <v>22</v>
      </c>
      <c r="D31" s="8">
        <v>23</v>
      </c>
      <c r="E31" s="7" t="s">
        <v>47</v>
      </c>
      <c r="F31" s="7" t="s">
        <v>50</v>
      </c>
      <c r="G31" s="9">
        <v>6778</v>
      </c>
      <c r="H31" s="10" t="s">
        <v>32</v>
      </c>
      <c r="I31" s="11">
        <v>132</v>
      </c>
      <c r="J31" s="11">
        <v>400</v>
      </c>
      <c r="K31" s="11">
        <v>50</v>
      </c>
      <c r="L31" s="11">
        <v>250</v>
      </c>
      <c r="M31" s="12">
        <v>134</v>
      </c>
      <c r="N31" s="11"/>
      <c r="O31" s="11">
        <v>134</v>
      </c>
      <c r="P31" s="11">
        <v>6</v>
      </c>
      <c r="Q31" s="13" t="s">
        <v>42</v>
      </c>
      <c r="R31" s="6">
        <v>295.41000000000003</v>
      </c>
      <c r="S31" s="7">
        <v>377</v>
      </c>
      <c r="T31" s="11">
        <v>263.89999999999998</v>
      </c>
      <c r="U31" s="11">
        <v>100</v>
      </c>
      <c r="V31" s="11">
        <v>28</v>
      </c>
      <c r="W31" s="11">
        <v>60</v>
      </c>
      <c r="X31" s="14">
        <v>1557.9</v>
      </c>
      <c r="Y31" s="11">
        <v>881.14</v>
      </c>
      <c r="Z31" s="11">
        <v>1355.6000000000001</v>
      </c>
      <c r="AA31" s="11">
        <v>1152.26</v>
      </c>
      <c r="AB31" s="11">
        <v>1694.5</v>
      </c>
      <c r="AC31" s="11">
        <v>2033.3999999999999</v>
      </c>
    </row>
    <row r="32" spans="1:29" x14ac:dyDescent="0.2">
      <c r="A32" s="5" t="s">
        <v>33</v>
      </c>
      <c r="B32" s="6">
        <v>19</v>
      </c>
      <c r="C32" s="15" t="s">
        <v>22</v>
      </c>
      <c r="D32" s="8">
        <v>12</v>
      </c>
      <c r="E32" s="7" t="s">
        <v>47</v>
      </c>
      <c r="F32" s="7" t="s">
        <v>51</v>
      </c>
      <c r="G32" s="9">
        <v>6778</v>
      </c>
      <c r="H32" s="10" t="s">
        <v>32</v>
      </c>
      <c r="I32" s="11">
        <v>132</v>
      </c>
      <c r="J32" s="11">
        <v>400</v>
      </c>
      <c r="K32" s="11">
        <v>50</v>
      </c>
      <c r="L32" s="11">
        <v>250</v>
      </c>
      <c r="M32" s="12">
        <v>134</v>
      </c>
      <c r="N32" s="11">
        <v>65</v>
      </c>
      <c r="O32" s="11">
        <v>134</v>
      </c>
      <c r="P32" s="11">
        <v>6</v>
      </c>
      <c r="Q32" s="13" t="s">
        <v>43</v>
      </c>
      <c r="R32" s="6">
        <v>295.41000000000003</v>
      </c>
      <c r="S32" s="7">
        <v>377</v>
      </c>
      <c r="T32" s="11">
        <v>263.89999999999998</v>
      </c>
      <c r="U32" s="11">
        <v>100</v>
      </c>
      <c r="V32" s="11">
        <v>28</v>
      </c>
      <c r="W32" s="11">
        <v>60</v>
      </c>
      <c r="X32" s="14">
        <v>1622.9</v>
      </c>
      <c r="Y32" s="11">
        <v>881.14</v>
      </c>
      <c r="Z32" s="11">
        <v>1355.6000000000001</v>
      </c>
      <c r="AA32" s="11">
        <v>1152.26</v>
      </c>
      <c r="AB32" s="11">
        <v>1694.5</v>
      </c>
      <c r="AC32" s="11">
        <v>2033.3999999999999</v>
      </c>
    </row>
    <row r="33" spans="1:29" x14ac:dyDescent="0.2">
      <c r="A33" s="5" t="s">
        <v>33</v>
      </c>
      <c r="B33" s="6">
        <v>19</v>
      </c>
      <c r="C33" s="15" t="s">
        <v>22</v>
      </c>
      <c r="D33" s="8">
        <v>13</v>
      </c>
      <c r="E33" s="7" t="s">
        <v>46</v>
      </c>
      <c r="F33" s="7" t="s">
        <v>52</v>
      </c>
      <c r="G33" s="9">
        <v>6778</v>
      </c>
      <c r="H33" s="10" t="s">
        <v>32</v>
      </c>
      <c r="I33" s="11">
        <v>132</v>
      </c>
      <c r="J33" s="11">
        <v>400</v>
      </c>
      <c r="K33" s="11">
        <v>50</v>
      </c>
      <c r="L33" s="11">
        <v>250</v>
      </c>
      <c r="M33" s="12">
        <v>134</v>
      </c>
      <c r="N33" s="11">
        <v>65</v>
      </c>
      <c r="O33" s="11">
        <v>134</v>
      </c>
      <c r="P33" s="11">
        <v>6</v>
      </c>
      <c r="Q33" s="13" t="s">
        <v>40</v>
      </c>
      <c r="R33" s="6">
        <v>295.41000000000003</v>
      </c>
      <c r="S33" s="7">
        <v>377</v>
      </c>
      <c r="T33" s="11">
        <v>263.89999999999998</v>
      </c>
      <c r="U33" s="11">
        <v>100</v>
      </c>
      <c r="V33" s="11">
        <v>28</v>
      </c>
      <c r="W33" s="11">
        <v>60</v>
      </c>
      <c r="X33" s="14">
        <v>1622.9</v>
      </c>
      <c r="Y33" s="11">
        <v>881.14</v>
      </c>
      <c r="Z33" s="11">
        <v>1355.6000000000001</v>
      </c>
      <c r="AA33" s="11">
        <v>1152.26</v>
      </c>
      <c r="AB33" s="11">
        <v>1694.5</v>
      </c>
      <c r="AC33" s="11">
        <v>2033.3999999999999</v>
      </c>
    </row>
    <row r="34" spans="1:29" x14ac:dyDescent="0.2">
      <c r="A34" s="5" t="s">
        <v>33</v>
      </c>
      <c r="B34" s="6">
        <v>20</v>
      </c>
      <c r="C34" s="15" t="s">
        <v>22</v>
      </c>
      <c r="D34" s="8">
        <v>14</v>
      </c>
      <c r="E34" s="7" t="s">
        <v>46</v>
      </c>
      <c r="F34" s="7" t="s">
        <v>54</v>
      </c>
      <c r="G34" s="9">
        <v>6778</v>
      </c>
      <c r="H34" s="10" t="s">
        <v>32</v>
      </c>
      <c r="I34" s="11">
        <v>132</v>
      </c>
      <c r="J34" s="11">
        <v>400</v>
      </c>
      <c r="K34" s="11">
        <v>50</v>
      </c>
      <c r="L34" s="11">
        <v>250</v>
      </c>
      <c r="M34" s="12">
        <v>134</v>
      </c>
      <c r="N34" s="11">
        <v>65</v>
      </c>
      <c r="O34" s="11">
        <v>134</v>
      </c>
      <c r="P34" s="11">
        <v>6</v>
      </c>
      <c r="Q34" s="13" t="s">
        <v>41</v>
      </c>
      <c r="R34" s="6">
        <v>295.41000000000003</v>
      </c>
      <c r="S34" s="7">
        <v>377</v>
      </c>
      <c r="T34" s="11">
        <v>263.89999999999998</v>
      </c>
      <c r="U34" s="11">
        <v>100</v>
      </c>
      <c r="V34" s="11">
        <v>28</v>
      </c>
      <c r="W34" s="11">
        <v>60</v>
      </c>
      <c r="X34" s="14">
        <v>1622.9</v>
      </c>
      <c r="Y34" s="11">
        <v>881.14</v>
      </c>
      <c r="Z34" s="11">
        <v>1355.6000000000001</v>
      </c>
      <c r="AA34" s="11">
        <v>1152.26</v>
      </c>
      <c r="AB34" s="11">
        <v>1694.5</v>
      </c>
      <c r="AC34" s="11">
        <v>2033.3999999999999</v>
      </c>
    </row>
    <row r="35" spans="1:29" x14ac:dyDescent="0.2">
      <c r="A35" s="5" t="s">
        <v>33</v>
      </c>
      <c r="B35" s="6">
        <v>21</v>
      </c>
      <c r="C35" s="15" t="s">
        <v>22</v>
      </c>
      <c r="D35" s="8">
        <v>15</v>
      </c>
      <c r="E35" s="7" t="s">
        <v>46</v>
      </c>
      <c r="F35" s="7" t="s">
        <v>49</v>
      </c>
      <c r="G35" s="9">
        <v>6778</v>
      </c>
      <c r="H35" s="10" t="s">
        <v>32</v>
      </c>
      <c r="I35" s="11">
        <v>132</v>
      </c>
      <c r="J35" s="11">
        <v>400</v>
      </c>
      <c r="K35" s="11">
        <v>50</v>
      </c>
      <c r="L35" s="11">
        <v>250</v>
      </c>
      <c r="M35" s="12">
        <v>134</v>
      </c>
      <c r="N35" s="11">
        <v>65</v>
      </c>
      <c r="O35" s="11">
        <v>134</v>
      </c>
      <c r="P35" s="11">
        <v>6</v>
      </c>
      <c r="Q35" s="13" t="s">
        <v>42</v>
      </c>
      <c r="R35" s="6">
        <v>295.41000000000003</v>
      </c>
      <c r="S35" s="7">
        <v>377</v>
      </c>
      <c r="T35" s="11">
        <v>263.89999999999998</v>
      </c>
      <c r="U35" s="11">
        <v>100</v>
      </c>
      <c r="V35" s="11">
        <v>28</v>
      </c>
      <c r="W35" s="11">
        <v>60</v>
      </c>
      <c r="X35" s="14">
        <v>1622.9</v>
      </c>
      <c r="Y35" s="11">
        <v>881.14</v>
      </c>
      <c r="Z35" s="11">
        <v>1355.6000000000001</v>
      </c>
      <c r="AA35" s="11">
        <v>1152.26</v>
      </c>
      <c r="AB35" s="11">
        <v>1694.5</v>
      </c>
      <c r="AC35" s="11">
        <v>2033.3999999999999</v>
      </c>
    </row>
    <row r="36" spans="1:29" x14ac:dyDescent="0.2">
      <c r="A36" s="5" t="s">
        <v>33</v>
      </c>
      <c r="B36" s="6">
        <v>25</v>
      </c>
      <c r="C36" s="15" t="s">
        <v>22</v>
      </c>
      <c r="D36" s="8">
        <v>16</v>
      </c>
      <c r="E36" s="7" t="s">
        <v>46</v>
      </c>
      <c r="F36" s="7" t="s">
        <v>54</v>
      </c>
      <c r="G36" s="9">
        <v>6778</v>
      </c>
      <c r="H36" s="10" t="s">
        <v>32</v>
      </c>
      <c r="I36" s="11">
        <v>132</v>
      </c>
      <c r="J36" s="11">
        <v>400</v>
      </c>
      <c r="K36" s="11">
        <v>50</v>
      </c>
      <c r="L36" s="11">
        <v>250</v>
      </c>
      <c r="M36" s="12">
        <v>134</v>
      </c>
      <c r="N36" s="11">
        <v>65</v>
      </c>
      <c r="O36" s="11">
        <v>134</v>
      </c>
      <c r="P36" s="11">
        <v>6</v>
      </c>
      <c r="Q36" s="13" t="s">
        <v>43</v>
      </c>
      <c r="R36" s="6">
        <v>295.41000000000003</v>
      </c>
      <c r="S36" s="7">
        <v>377</v>
      </c>
      <c r="T36" s="11">
        <v>263.89999999999998</v>
      </c>
      <c r="U36" s="11">
        <v>100</v>
      </c>
      <c r="V36" s="11">
        <v>28</v>
      </c>
      <c r="W36" s="11">
        <v>60</v>
      </c>
      <c r="X36" s="14">
        <v>1622.9</v>
      </c>
      <c r="Y36" s="11">
        <v>881.14</v>
      </c>
      <c r="Z36" s="11">
        <v>1355.6000000000001</v>
      </c>
      <c r="AA36" s="11">
        <v>1152.26</v>
      </c>
      <c r="AB36" s="11">
        <v>1694.5</v>
      </c>
      <c r="AC36" s="11">
        <v>2033.3999999999999</v>
      </c>
    </row>
    <row r="37" spans="1:29" x14ac:dyDescent="0.2">
      <c r="A37" s="5" t="s">
        <v>35</v>
      </c>
      <c r="B37" s="6">
        <v>8</v>
      </c>
      <c r="C37" s="7" t="s">
        <v>24</v>
      </c>
      <c r="D37" s="8">
        <v>17</v>
      </c>
      <c r="E37" s="7" t="s">
        <v>46</v>
      </c>
      <c r="F37" s="7" t="s">
        <v>53</v>
      </c>
      <c r="G37" s="9">
        <v>6543</v>
      </c>
      <c r="H37" s="10" t="s">
        <v>32</v>
      </c>
      <c r="I37" s="11">
        <v>132</v>
      </c>
      <c r="J37" s="11">
        <v>400</v>
      </c>
      <c r="K37" s="11">
        <v>50</v>
      </c>
      <c r="L37" s="11">
        <v>250</v>
      </c>
      <c r="M37" s="12">
        <v>121</v>
      </c>
      <c r="N37" s="11"/>
      <c r="O37" s="11">
        <v>51</v>
      </c>
      <c r="P37" s="11">
        <v>51</v>
      </c>
      <c r="Q37" s="13" t="s">
        <v>40</v>
      </c>
      <c r="R37" s="6">
        <v>295.41000000000003</v>
      </c>
      <c r="S37" s="7">
        <v>389</v>
      </c>
      <c r="T37" s="11">
        <v>272.29999999999995</v>
      </c>
      <c r="U37" s="11">
        <v>100</v>
      </c>
      <c r="V37" s="11">
        <v>29</v>
      </c>
      <c r="W37" s="11">
        <v>61</v>
      </c>
      <c r="X37" s="14">
        <v>1517.3</v>
      </c>
      <c r="Y37" s="11">
        <v>850.59</v>
      </c>
      <c r="Z37" s="11">
        <v>1308.6000000000001</v>
      </c>
      <c r="AA37" s="11">
        <v>1112.3100000000002</v>
      </c>
      <c r="AB37" s="11">
        <v>1635.75</v>
      </c>
      <c r="AC37" s="11">
        <v>1962.8999999999999</v>
      </c>
    </row>
    <row r="38" spans="1:29" x14ac:dyDescent="0.2">
      <c r="A38" s="5" t="s">
        <v>35</v>
      </c>
      <c r="B38" s="6">
        <v>20</v>
      </c>
      <c r="C38" s="15" t="s">
        <v>24</v>
      </c>
      <c r="D38" s="8">
        <v>18</v>
      </c>
      <c r="E38" s="7" t="s">
        <v>46</v>
      </c>
      <c r="F38" s="7" t="s">
        <v>49</v>
      </c>
      <c r="G38" s="9">
        <v>6543</v>
      </c>
      <c r="H38" s="10" t="s">
        <v>32</v>
      </c>
      <c r="I38" s="11">
        <v>132</v>
      </c>
      <c r="J38" s="11">
        <v>400</v>
      </c>
      <c r="K38" s="11">
        <v>50</v>
      </c>
      <c r="L38" s="11">
        <v>250</v>
      </c>
      <c r="M38" s="12">
        <v>121</v>
      </c>
      <c r="N38" s="11"/>
      <c r="O38" s="11">
        <v>51</v>
      </c>
      <c r="P38" s="11">
        <v>51</v>
      </c>
      <c r="Q38" s="13" t="s">
        <v>41</v>
      </c>
      <c r="R38" s="6">
        <v>295.41000000000003</v>
      </c>
      <c r="S38" s="7">
        <v>389</v>
      </c>
      <c r="T38" s="11">
        <v>272.29999999999995</v>
      </c>
      <c r="U38" s="11">
        <v>100</v>
      </c>
      <c r="V38" s="11">
        <v>29</v>
      </c>
      <c r="W38" s="11">
        <v>61</v>
      </c>
      <c r="X38" s="14">
        <v>1517.3</v>
      </c>
      <c r="Y38" s="11">
        <v>850.59</v>
      </c>
      <c r="Z38" s="11">
        <v>1308.6000000000001</v>
      </c>
      <c r="AA38" s="11">
        <v>1112.3100000000002</v>
      </c>
      <c r="AB38" s="11">
        <v>1635.75</v>
      </c>
      <c r="AC38" s="11">
        <v>1962.8999999999999</v>
      </c>
    </row>
    <row r="39" spans="1:29" x14ac:dyDescent="0.2">
      <c r="A39" s="5" t="s">
        <v>35</v>
      </c>
      <c r="B39" s="6">
        <v>22</v>
      </c>
      <c r="C39" s="15" t="s">
        <v>24</v>
      </c>
      <c r="D39" s="8">
        <v>12.9</v>
      </c>
      <c r="E39" s="7" t="s">
        <v>46</v>
      </c>
      <c r="F39" s="7" t="s">
        <v>50</v>
      </c>
      <c r="G39" s="9">
        <v>6543</v>
      </c>
      <c r="H39" s="10" t="s">
        <v>32</v>
      </c>
      <c r="I39" s="11">
        <v>132</v>
      </c>
      <c r="J39" s="11">
        <v>400</v>
      </c>
      <c r="K39" s="11">
        <v>50</v>
      </c>
      <c r="L39" s="11">
        <v>250</v>
      </c>
      <c r="M39" s="12">
        <v>121</v>
      </c>
      <c r="N39" s="11">
        <v>33</v>
      </c>
      <c r="O39" s="11">
        <v>51</v>
      </c>
      <c r="P39" s="11">
        <v>51</v>
      </c>
      <c r="Q39" s="13" t="s">
        <v>42</v>
      </c>
      <c r="R39" s="6">
        <v>295.41000000000003</v>
      </c>
      <c r="S39" s="7">
        <v>389</v>
      </c>
      <c r="T39" s="11">
        <v>272.29999999999995</v>
      </c>
      <c r="U39" s="11">
        <v>100</v>
      </c>
      <c r="V39" s="11">
        <v>29</v>
      </c>
      <c r="W39" s="11">
        <v>61</v>
      </c>
      <c r="X39" s="14">
        <v>1550.3</v>
      </c>
      <c r="Y39" s="11">
        <v>850.59</v>
      </c>
      <c r="Z39" s="11">
        <v>1308.6000000000001</v>
      </c>
      <c r="AA39" s="11">
        <v>1112.3100000000002</v>
      </c>
      <c r="AB39" s="11">
        <v>1635.75</v>
      </c>
      <c r="AC39" s="11">
        <v>1962.8999999999999</v>
      </c>
    </row>
    <row r="40" spans="1:29" x14ac:dyDescent="0.2">
      <c r="A40" s="5" t="s">
        <v>35</v>
      </c>
      <c r="B40" s="6">
        <v>23</v>
      </c>
      <c r="C40" s="15" t="s">
        <v>24</v>
      </c>
      <c r="D40" s="8">
        <v>12.9</v>
      </c>
      <c r="E40" s="7" t="s">
        <v>46</v>
      </c>
      <c r="F40" s="7" t="s">
        <v>51</v>
      </c>
      <c r="G40" s="9">
        <v>6543</v>
      </c>
      <c r="H40" s="10" t="s">
        <v>32</v>
      </c>
      <c r="I40" s="11">
        <v>132</v>
      </c>
      <c r="J40" s="11">
        <v>400</v>
      </c>
      <c r="K40" s="11">
        <v>50</v>
      </c>
      <c r="L40" s="11">
        <v>250</v>
      </c>
      <c r="M40" s="12">
        <v>121</v>
      </c>
      <c r="N40" s="11">
        <v>33</v>
      </c>
      <c r="O40" s="11">
        <v>51</v>
      </c>
      <c r="P40" s="11">
        <v>51</v>
      </c>
      <c r="Q40" s="13" t="s">
        <v>43</v>
      </c>
      <c r="R40" s="6">
        <v>295.41000000000003</v>
      </c>
      <c r="S40" s="7">
        <v>389</v>
      </c>
      <c r="T40" s="11">
        <v>272.29999999999995</v>
      </c>
      <c r="U40" s="11">
        <v>100</v>
      </c>
      <c r="V40" s="11">
        <v>29</v>
      </c>
      <c r="W40" s="11">
        <v>61</v>
      </c>
      <c r="X40" s="14">
        <v>1550.3</v>
      </c>
      <c r="Y40" s="11">
        <v>850.59</v>
      </c>
      <c r="Z40" s="11">
        <v>1308.6000000000001</v>
      </c>
      <c r="AA40" s="11">
        <v>1112.3100000000002</v>
      </c>
      <c r="AB40" s="11">
        <v>1635.75</v>
      </c>
      <c r="AC40" s="11">
        <v>1962.8999999999999</v>
      </c>
    </row>
    <row r="41" spans="1:29" x14ac:dyDescent="0.2">
      <c r="A41" s="5" t="s">
        <v>36</v>
      </c>
      <c r="B41" s="6">
        <v>25</v>
      </c>
      <c r="C41" s="15" t="s">
        <v>22</v>
      </c>
      <c r="D41" s="8">
        <v>12.9</v>
      </c>
      <c r="E41" s="7" t="s">
        <v>46</v>
      </c>
      <c r="F41" s="7" t="s">
        <v>51</v>
      </c>
      <c r="G41" s="9">
        <v>8633</v>
      </c>
      <c r="H41" s="10" t="s">
        <v>32</v>
      </c>
      <c r="I41" s="11">
        <v>132</v>
      </c>
      <c r="J41" s="11">
        <v>400</v>
      </c>
      <c r="K41" s="11">
        <v>50</v>
      </c>
      <c r="L41" s="11">
        <v>250</v>
      </c>
      <c r="M41" s="12">
        <v>134</v>
      </c>
      <c r="N41" s="11"/>
      <c r="O41" s="11">
        <v>134</v>
      </c>
      <c r="P41" s="11">
        <v>6</v>
      </c>
      <c r="Q41" s="13" t="s">
        <v>42</v>
      </c>
      <c r="R41" s="6">
        <v>295.41000000000003</v>
      </c>
      <c r="S41" s="7">
        <v>234</v>
      </c>
      <c r="T41" s="11">
        <v>163.79999999999998</v>
      </c>
      <c r="U41" s="11">
        <v>100</v>
      </c>
      <c r="V41" s="11">
        <v>23</v>
      </c>
      <c r="W41" s="11">
        <v>55</v>
      </c>
      <c r="X41" s="14">
        <v>1447.8</v>
      </c>
      <c r="Y41" s="11">
        <v>1122.29</v>
      </c>
      <c r="Z41" s="11">
        <v>1726.6000000000001</v>
      </c>
      <c r="AA41" s="11">
        <v>1467.6100000000001</v>
      </c>
      <c r="AB41" s="11">
        <v>2158.25</v>
      </c>
      <c r="AC41" s="11">
        <v>2589.9</v>
      </c>
    </row>
    <row r="42" spans="1:29" x14ac:dyDescent="0.2">
      <c r="A42" s="5" t="s">
        <v>36</v>
      </c>
      <c r="B42" s="6">
        <v>26</v>
      </c>
      <c r="C42" s="15" t="s">
        <v>22</v>
      </c>
      <c r="D42" s="8">
        <v>18</v>
      </c>
      <c r="E42" s="7" t="s">
        <v>46</v>
      </c>
      <c r="F42" s="7" t="s">
        <v>52</v>
      </c>
      <c r="G42" s="9">
        <v>8633</v>
      </c>
      <c r="H42" s="10" t="s">
        <v>32</v>
      </c>
      <c r="I42" s="11">
        <v>132</v>
      </c>
      <c r="J42" s="11">
        <v>400</v>
      </c>
      <c r="K42" s="11">
        <v>50</v>
      </c>
      <c r="L42" s="11">
        <v>250</v>
      </c>
      <c r="M42" s="12">
        <v>134</v>
      </c>
      <c r="N42" s="11"/>
      <c r="O42" s="11">
        <v>134</v>
      </c>
      <c r="P42" s="11">
        <v>6</v>
      </c>
      <c r="Q42" s="13" t="s">
        <v>42</v>
      </c>
      <c r="R42" s="6">
        <v>295.41000000000003</v>
      </c>
      <c r="S42" s="7">
        <v>234</v>
      </c>
      <c r="T42" s="11">
        <v>163.79999999999998</v>
      </c>
      <c r="U42" s="11">
        <v>100</v>
      </c>
      <c r="V42" s="11">
        <v>23</v>
      </c>
      <c r="W42" s="11">
        <v>55</v>
      </c>
      <c r="X42" s="14">
        <v>1447.8</v>
      </c>
      <c r="Y42" s="11">
        <v>1122.29</v>
      </c>
      <c r="Z42" s="11">
        <v>1726.6000000000001</v>
      </c>
      <c r="AA42" s="11">
        <v>1467.6100000000001</v>
      </c>
      <c r="AB42" s="11">
        <v>2158.25</v>
      </c>
      <c r="AC42" s="11">
        <v>2589.9</v>
      </c>
    </row>
    <row r="43" spans="1:29" x14ac:dyDescent="0.2">
      <c r="A43" s="5" t="s">
        <v>36</v>
      </c>
      <c r="B43" s="6">
        <v>27</v>
      </c>
      <c r="C43" s="15" t="s">
        <v>22</v>
      </c>
      <c r="D43" s="8">
        <v>19</v>
      </c>
      <c r="E43" s="7" t="s">
        <v>46</v>
      </c>
      <c r="F43" s="7" t="s">
        <v>54</v>
      </c>
      <c r="G43" s="9">
        <v>8633</v>
      </c>
      <c r="H43" s="10" t="s">
        <v>32</v>
      </c>
      <c r="I43" s="11">
        <v>132</v>
      </c>
      <c r="J43" s="11">
        <v>400</v>
      </c>
      <c r="K43" s="11">
        <v>50</v>
      </c>
      <c r="L43" s="11">
        <v>250</v>
      </c>
      <c r="M43" s="12">
        <v>134</v>
      </c>
      <c r="N43" s="11"/>
      <c r="O43" s="11">
        <v>134</v>
      </c>
      <c r="P43" s="11">
        <v>6</v>
      </c>
      <c r="Q43" s="13" t="s">
        <v>42</v>
      </c>
      <c r="R43" s="6">
        <v>295.41000000000003</v>
      </c>
      <c r="S43" s="7">
        <v>234</v>
      </c>
      <c r="T43" s="11">
        <v>163.79999999999998</v>
      </c>
      <c r="U43" s="11">
        <v>100</v>
      </c>
      <c r="V43" s="11">
        <v>23</v>
      </c>
      <c r="W43" s="11">
        <v>55</v>
      </c>
      <c r="X43" s="14">
        <v>1447.8</v>
      </c>
      <c r="Y43" s="11">
        <v>1122.29</v>
      </c>
      <c r="Z43" s="11">
        <v>1726.6000000000001</v>
      </c>
      <c r="AA43" s="11">
        <v>1467.6100000000001</v>
      </c>
      <c r="AB43" s="11">
        <v>2158.25</v>
      </c>
      <c r="AC43" s="11">
        <v>2589.9</v>
      </c>
    </row>
    <row r="44" spans="1:29" x14ac:dyDescent="0.2">
      <c r="A44" s="5" t="s">
        <v>36</v>
      </c>
      <c r="B44" s="6">
        <v>27</v>
      </c>
      <c r="C44" s="15" t="s">
        <v>22</v>
      </c>
      <c r="D44" s="8">
        <v>20</v>
      </c>
      <c r="E44" s="7" t="s">
        <v>46</v>
      </c>
      <c r="F44" s="7" t="s">
        <v>54</v>
      </c>
      <c r="G44" s="9">
        <v>8633</v>
      </c>
      <c r="H44" s="10" t="s">
        <v>32</v>
      </c>
      <c r="I44" s="11">
        <v>132</v>
      </c>
      <c r="J44" s="11">
        <v>400</v>
      </c>
      <c r="K44" s="11">
        <v>50</v>
      </c>
      <c r="L44" s="11">
        <v>250</v>
      </c>
      <c r="M44" s="12">
        <v>134</v>
      </c>
      <c r="N44" s="11"/>
      <c r="O44" s="11">
        <v>134</v>
      </c>
      <c r="P44" s="11">
        <v>6</v>
      </c>
      <c r="Q44" s="13" t="s">
        <v>42</v>
      </c>
      <c r="R44" s="6">
        <v>295.41000000000003</v>
      </c>
      <c r="S44" s="7">
        <v>234</v>
      </c>
      <c r="T44" s="11">
        <v>163.79999999999998</v>
      </c>
      <c r="U44" s="11">
        <v>100</v>
      </c>
      <c r="V44" s="11">
        <v>23</v>
      </c>
      <c r="W44" s="11">
        <v>55</v>
      </c>
      <c r="X44" s="14">
        <v>1447.8</v>
      </c>
      <c r="Y44" s="11">
        <v>1122.29</v>
      </c>
      <c r="Z44" s="11">
        <v>1726.6000000000001</v>
      </c>
      <c r="AA44" s="11">
        <v>1467.6100000000001</v>
      </c>
      <c r="AB44" s="11">
        <v>2158.25</v>
      </c>
      <c r="AC44" s="11">
        <v>2589.9</v>
      </c>
    </row>
    <row r="45" spans="1:29" x14ac:dyDescent="0.2">
      <c r="A45" s="5" t="s">
        <v>37</v>
      </c>
      <c r="B45" s="6">
        <v>1</v>
      </c>
      <c r="C45" s="15" t="s">
        <v>22</v>
      </c>
      <c r="D45" s="8">
        <v>21</v>
      </c>
      <c r="E45" s="7" t="s">
        <v>46</v>
      </c>
      <c r="F45" s="7" t="s">
        <v>54</v>
      </c>
      <c r="G45" s="9">
        <v>5556</v>
      </c>
      <c r="H45" s="10" t="s">
        <v>27</v>
      </c>
      <c r="I45" s="11">
        <v>132</v>
      </c>
      <c r="J45" s="11">
        <v>400</v>
      </c>
      <c r="K45" s="11">
        <v>50</v>
      </c>
      <c r="L45" s="11">
        <v>250</v>
      </c>
      <c r="M45" s="12">
        <v>120</v>
      </c>
      <c r="N45" s="11">
        <v>65</v>
      </c>
      <c r="O45" s="11">
        <v>134</v>
      </c>
      <c r="P45" s="11">
        <v>6</v>
      </c>
      <c r="Q45" s="13" t="s">
        <v>40</v>
      </c>
      <c r="R45" s="6">
        <v>295.41000000000003</v>
      </c>
      <c r="S45" s="7">
        <v>343</v>
      </c>
      <c r="T45" s="11">
        <v>240.1</v>
      </c>
      <c r="U45" s="11">
        <v>100</v>
      </c>
      <c r="V45" s="11">
        <v>22</v>
      </c>
      <c r="W45" s="11">
        <v>54</v>
      </c>
      <c r="X45" s="14">
        <v>1573.1</v>
      </c>
      <c r="Y45" s="11">
        <v>722.28</v>
      </c>
      <c r="Z45" s="11">
        <v>1111.2</v>
      </c>
      <c r="AA45" s="11">
        <v>944.5200000000001</v>
      </c>
      <c r="AB45" s="11">
        <v>1389</v>
      </c>
      <c r="AC45" s="11">
        <v>1666.8</v>
      </c>
    </row>
    <row r="46" spans="1:29" x14ac:dyDescent="0.2">
      <c r="A46" s="5" t="s">
        <v>37</v>
      </c>
      <c r="B46" s="6">
        <v>2</v>
      </c>
      <c r="C46" s="15" t="s">
        <v>22</v>
      </c>
      <c r="D46" s="8">
        <v>22</v>
      </c>
      <c r="E46" s="7" t="s">
        <v>46</v>
      </c>
      <c r="F46" s="7" t="s">
        <v>54</v>
      </c>
      <c r="G46" s="9">
        <v>5556</v>
      </c>
      <c r="H46" s="10" t="s">
        <v>27</v>
      </c>
      <c r="I46" s="11">
        <v>132</v>
      </c>
      <c r="J46" s="11">
        <v>400</v>
      </c>
      <c r="K46" s="11">
        <v>50</v>
      </c>
      <c r="L46" s="11">
        <v>250</v>
      </c>
      <c r="M46" s="12">
        <v>120</v>
      </c>
      <c r="N46" s="11">
        <v>65</v>
      </c>
      <c r="O46" s="11">
        <v>134</v>
      </c>
      <c r="P46" s="11">
        <v>6</v>
      </c>
      <c r="Q46" s="13" t="s">
        <v>40</v>
      </c>
      <c r="R46" s="6">
        <v>295.41000000000003</v>
      </c>
      <c r="S46" s="7">
        <v>343</v>
      </c>
      <c r="T46" s="11">
        <v>240.1</v>
      </c>
      <c r="U46" s="11">
        <v>100</v>
      </c>
      <c r="V46" s="11">
        <v>22</v>
      </c>
      <c r="W46" s="11">
        <v>54</v>
      </c>
      <c r="X46" s="14">
        <v>1573.1</v>
      </c>
      <c r="Y46" s="11">
        <v>722.28</v>
      </c>
      <c r="Z46" s="11">
        <v>1111.2</v>
      </c>
      <c r="AA46" s="11">
        <v>944.5200000000001</v>
      </c>
      <c r="AB46" s="11">
        <v>1389</v>
      </c>
      <c r="AC46" s="11">
        <v>1666.8</v>
      </c>
    </row>
    <row r="47" spans="1:29" x14ac:dyDescent="0.2">
      <c r="A47" s="5" t="s">
        <v>37</v>
      </c>
      <c r="B47" s="6">
        <v>10</v>
      </c>
      <c r="C47" s="15" t="s">
        <v>22</v>
      </c>
      <c r="D47" s="8">
        <v>23</v>
      </c>
      <c r="E47" s="7" t="s">
        <v>46</v>
      </c>
      <c r="F47" s="7" t="s">
        <v>54</v>
      </c>
      <c r="G47" s="9">
        <v>6433</v>
      </c>
      <c r="H47" s="10" t="s">
        <v>29</v>
      </c>
      <c r="I47" s="11">
        <v>132</v>
      </c>
      <c r="J47" s="11">
        <v>399</v>
      </c>
      <c r="K47" s="11">
        <v>50</v>
      </c>
      <c r="L47" s="11">
        <v>250</v>
      </c>
      <c r="M47" s="12">
        <v>134</v>
      </c>
      <c r="N47" s="11"/>
      <c r="O47" s="11">
        <v>134</v>
      </c>
      <c r="P47" s="11">
        <v>6</v>
      </c>
      <c r="Q47" s="13" t="s">
        <v>41</v>
      </c>
      <c r="R47" s="6">
        <v>295.41000000000003</v>
      </c>
      <c r="S47" s="7">
        <v>343</v>
      </c>
      <c r="T47" s="11">
        <v>240.1</v>
      </c>
      <c r="U47" s="11">
        <v>100</v>
      </c>
      <c r="V47" s="11">
        <v>25</v>
      </c>
      <c r="W47" s="11">
        <v>57</v>
      </c>
      <c r="X47" s="14">
        <v>1527.1</v>
      </c>
      <c r="Y47" s="11">
        <v>836.29000000000008</v>
      </c>
      <c r="Z47" s="11">
        <v>1286.6000000000001</v>
      </c>
      <c r="AA47" s="11">
        <v>1093.6100000000001</v>
      </c>
      <c r="AB47" s="11">
        <v>1608.25</v>
      </c>
      <c r="AC47" s="11">
        <v>1929.8999999999999</v>
      </c>
    </row>
    <row r="48" spans="1:29" x14ac:dyDescent="0.2">
      <c r="A48" s="5" t="s">
        <v>37</v>
      </c>
      <c r="B48" s="6">
        <v>10</v>
      </c>
      <c r="C48" s="7" t="s">
        <v>24</v>
      </c>
      <c r="D48" s="8">
        <v>12.9</v>
      </c>
      <c r="E48" s="7" t="s">
        <v>46</v>
      </c>
      <c r="F48" s="7" t="s">
        <v>54</v>
      </c>
      <c r="G48" s="9">
        <v>3456</v>
      </c>
      <c r="H48" s="10" t="s">
        <v>34</v>
      </c>
      <c r="I48" s="11">
        <v>132</v>
      </c>
      <c r="J48" s="11">
        <v>400</v>
      </c>
      <c r="K48" s="11">
        <v>50</v>
      </c>
      <c r="L48" s="11">
        <v>250</v>
      </c>
      <c r="M48" s="12">
        <v>128</v>
      </c>
      <c r="N48" s="11">
        <v>65</v>
      </c>
      <c r="O48" s="11">
        <v>134</v>
      </c>
      <c r="P48" s="11">
        <v>6</v>
      </c>
      <c r="Q48" s="13" t="s">
        <v>43</v>
      </c>
      <c r="R48" s="6">
        <v>295.41000000000003</v>
      </c>
      <c r="S48" s="7">
        <v>343</v>
      </c>
      <c r="T48" s="11">
        <v>240.1</v>
      </c>
      <c r="U48" s="11">
        <v>100</v>
      </c>
      <c r="V48" s="11">
        <v>24</v>
      </c>
      <c r="W48" s="11">
        <v>56</v>
      </c>
      <c r="X48" s="14">
        <v>1585.1</v>
      </c>
      <c r="Y48" s="11">
        <v>449.28000000000003</v>
      </c>
      <c r="Z48" s="11">
        <v>691.2</v>
      </c>
      <c r="AA48" s="11">
        <v>587.5200000000001</v>
      </c>
      <c r="AB48" s="11">
        <v>864</v>
      </c>
      <c r="AC48" s="11">
        <v>1036.8</v>
      </c>
    </row>
    <row r="49" spans="1:29" x14ac:dyDescent="0.2">
      <c r="A49" s="5" t="s">
        <v>37</v>
      </c>
      <c r="B49" s="6">
        <v>11</v>
      </c>
      <c r="C49" s="15" t="s">
        <v>22</v>
      </c>
      <c r="D49" s="8">
        <v>13</v>
      </c>
      <c r="E49" s="7" t="s">
        <v>46</v>
      </c>
      <c r="F49" s="7" t="s">
        <v>54</v>
      </c>
      <c r="G49" s="9">
        <v>6433</v>
      </c>
      <c r="H49" s="10" t="s">
        <v>29</v>
      </c>
      <c r="I49" s="11">
        <v>132</v>
      </c>
      <c r="J49" s="11">
        <v>399</v>
      </c>
      <c r="K49" s="11">
        <v>50</v>
      </c>
      <c r="L49" s="11">
        <v>250</v>
      </c>
      <c r="M49" s="12">
        <v>134</v>
      </c>
      <c r="N49" s="11"/>
      <c r="O49" s="11">
        <v>134</v>
      </c>
      <c r="P49" s="11">
        <v>6</v>
      </c>
      <c r="Q49" s="13" t="s">
        <v>41</v>
      </c>
      <c r="R49" s="6">
        <v>295.41000000000003</v>
      </c>
      <c r="S49" s="7">
        <v>343</v>
      </c>
      <c r="T49" s="11">
        <v>240.1</v>
      </c>
      <c r="U49" s="11">
        <v>100</v>
      </c>
      <c r="V49" s="11">
        <v>25</v>
      </c>
      <c r="W49" s="11">
        <v>57</v>
      </c>
      <c r="X49" s="14">
        <v>1527.1</v>
      </c>
      <c r="Y49" s="11">
        <v>836.29000000000008</v>
      </c>
      <c r="Z49" s="11">
        <v>1286.6000000000001</v>
      </c>
      <c r="AA49" s="11">
        <v>1093.6100000000001</v>
      </c>
      <c r="AB49" s="11">
        <v>1608.25</v>
      </c>
      <c r="AC49" s="11">
        <v>1929.8999999999999</v>
      </c>
    </row>
    <row r="50" spans="1:29" x14ac:dyDescent="0.2">
      <c r="A50" s="5" t="s">
        <v>37</v>
      </c>
      <c r="B50" s="6">
        <v>28</v>
      </c>
      <c r="C50" s="15" t="s">
        <v>24</v>
      </c>
      <c r="D50" s="8">
        <v>14</v>
      </c>
      <c r="E50" s="7" t="s">
        <v>46</v>
      </c>
      <c r="F50" s="7" t="s">
        <v>54</v>
      </c>
      <c r="G50" s="9">
        <v>3456</v>
      </c>
      <c r="H50" s="10" t="s">
        <v>34</v>
      </c>
      <c r="I50" s="11">
        <v>132</v>
      </c>
      <c r="J50" s="11">
        <v>400</v>
      </c>
      <c r="K50" s="11">
        <v>50</v>
      </c>
      <c r="L50" s="11">
        <v>250</v>
      </c>
      <c r="M50" s="12">
        <v>128</v>
      </c>
      <c r="N50" s="11"/>
      <c r="O50" s="11">
        <v>134</v>
      </c>
      <c r="P50" s="11">
        <v>6</v>
      </c>
      <c r="Q50" s="13" t="s">
        <v>43</v>
      </c>
      <c r="R50" s="6">
        <v>295.41000000000003</v>
      </c>
      <c r="S50" s="7">
        <v>343</v>
      </c>
      <c r="T50" s="11">
        <v>240.1</v>
      </c>
      <c r="U50" s="11">
        <v>100</v>
      </c>
      <c r="V50" s="11">
        <v>24</v>
      </c>
      <c r="W50" s="11">
        <v>56</v>
      </c>
      <c r="X50" s="14">
        <v>1520.1</v>
      </c>
      <c r="Y50" s="11">
        <v>449.28000000000003</v>
      </c>
      <c r="Z50" s="11">
        <v>691.2</v>
      </c>
      <c r="AA50" s="11">
        <v>587.5200000000001</v>
      </c>
      <c r="AB50" s="11">
        <v>864</v>
      </c>
      <c r="AC50" s="11">
        <v>1036.8</v>
      </c>
    </row>
    <row r="51" spans="1:29" x14ac:dyDescent="0.2">
      <c r="A51" s="5" t="s">
        <v>37</v>
      </c>
      <c r="B51" s="6">
        <v>28</v>
      </c>
      <c r="C51" s="15" t="s">
        <v>24</v>
      </c>
      <c r="D51" s="8">
        <v>15</v>
      </c>
      <c r="E51" s="7" t="s">
        <v>46</v>
      </c>
      <c r="F51" s="7" t="s">
        <v>54</v>
      </c>
      <c r="G51" s="9">
        <v>3456</v>
      </c>
      <c r="H51" s="10" t="s">
        <v>34</v>
      </c>
      <c r="I51" s="11">
        <v>132</v>
      </c>
      <c r="J51" s="11">
        <v>400</v>
      </c>
      <c r="K51" s="11">
        <v>50</v>
      </c>
      <c r="L51" s="11">
        <v>250</v>
      </c>
      <c r="M51" s="12">
        <v>128</v>
      </c>
      <c r="N51" s="11"/>
      <c r="O51" s="11">
        <v>134</v>
      </c>
      <c r="P51" s="11">
        <v>6</v>
      </c>
      <c r="Q51" s="13" t="s">
        <v>43</v>
      </c>
      <c r="R51" s="6">
        <v>295.41000000000003</v>
      </c>
      <c r="S51" s="7">
        <v>343</v>
      </c>
      <c r="T51" s="11">
        <v>240.1</v>
      </c>
      <c r="U51" s="11">
        <v>100</v>
      </c>
      <c r="V51" s="11">
        <v>24</v>
      </c>
      <c r="W51" s="11">
        <v>56</v>
      </c>
      <c r="X51" s="14">
        <v>1520.1</v>
      </c>
      <c r="Y51" s="11">
        <v>449.28000000000003</v>
      </c>
      <c r="Z51" s="11">
        <v>691.2</v>
      </c>
      <c r="AA51" s="11">
        <v>587.5200000000001</v>
      </c>
      <c r="AB51" s="11">
        <v>864</v>
      </c>
      <c r="AC51" s="11">
        <v>1036.8</v>
      </c>
    </row>
    <row r="52" spans="1:29" x14ac:dyDescent="0.2">
      <c r="A52" s="5" t="s">
        <v>37</v>
      </c>
      <c r="B52" s="6">
        <v>29</v>
      </c>
      <c r="C52" s="15" t="s">
        <v>24</v>
      </c>
      <c r="D52" s="8">
        <v>16</v>
      </c>
      <c r="E52" s="7" t="s">
        <v>46</v>
      </c>
      <c r="F52" s="7" t="s">
        <v>54</v>
      </c>
      <c r="G52" s="9">
        <v>3456</v>
      </c>
      <c r="H52" s="10" t="s">
        <v>34</v>
      </c>
      <c r="I52" s="11">
        <v>132</v>
      </c>
      <c r="J52" s="11">
        <v>400</v>
      </c>
      <c r="K52" s="11">
        <v>50</v>
      </c>
      <c r="L52" s="11">
        <v>250</v>
      </c>
      <c r="M52" s="12">
        <v>128</v>
      </c>
      <c r="N52" s="11"/>
      <c r="O52" s="11">
        <v>134</v>
      </c>
      <c r="P52" s="11">
        <v>6</v>
      </c>
      <c r="Q52" s="13" t="s">
        <v>43</v>
      </c>
      <c r="R52" s="6">
        <v>295.41000000000003</v>
      </c>
      <c r="S52" s="7">
        <v>343</v>
      </c>
      <c r="T52" s="11">
        <v>240.1</v>
      </c>
      <c r="U52" s="11">
        <v>100</v>
      </c>
      <c r="V52" s="11">
        <v>24</v>
      </c>
      <c r="W52" s="11">
        <v>56</v>
      </c>
      <c r="X52" s="14">
        <v>1520.1</v>
      </c>
      <c r="Y52" s="11">
        <v>449.28000000000003</v>
      </c>
      <c r="Z52" s="11">
        <v>691.2</v>
      </c>
      <c r="AA52" s="11">
        <v>587.5200000000001</v>
      </c>
      <c r="AB52" s="11">
        <v>864</v>
      </c>
      <c r="AC52" s="11">
        <v>1036.8</v>
      </c>
    </row>
    <row r="53" spans="1:29" x14ac:dyDescent="0.2">
      <c r="A53" s="5" t="s">
        <v>37</v>
      </c>
      <c r="B53" s="6">
        <v>1</v>
      </c>
      <c r="C53" s="15" t="s">
        <v>22</v>
      </c>
      <c r="D53" s="8">
        <v>21</v>
      </c>
      <c r="E53" s="7" t="s">
        <v>46</v>
      </c>
      <c r="F53" s="7" t="s">
        <v>54</v>
      </c>
      <c r="G53" s="9">
        <v>5556</v>
      </c>
      <c r="H53" s="10" t="s">
        <v>27</v>
      </c>
      <c r="I53" s="11">
        <v>132</v>
      </c>
      <c r="J53" s="11">
        <v>400</v>
      </c>
      <c r="K53" s="11">
        <v>50</v>
      </c>
      <c r="L53" s="11">
        <v>250</v>
      </c>
      <c r="M53" s="12">
        <v>120</v>
      </c>
      <c r="N53" s="11">
        <v>65</v>
      </c>
      <c r="O53" s="11">
        <v>134</v>
      </c>
      <c r="P53" s="11">
        <v>6</v>
      </c>
      <c r="Q53" s="13" t="s">
        <v>40</v>
      </c>
      <c r="R53" s="6">
        <v>295.41000000000003</v>
      </c>
      <c r="S53" s="7">
        <v>343</v>
      </c>
      <c r="T53" s="11">
        <v>240.1</v>
      </c>
      <c r="U53" s="11">
        <v>100</v>
      </c>
      <c r="V53" s="11">
        <v>22</v>
      </c>
      <c r="W53" s="11">
        <v>54</v>
      </c>
      <c r="X53" s="14">
        <v>1573.1</v>
      </c>
      <c r="Y53" s="11">
        <v>722.28</v>
      </c>
      <c r="Z53" s="11">
        <v>1111.2</v>
      </c>
      <c r="AA53" s="11">
        <v>944.5200000000001</v>
      </c>
      <c r="AB53" s="11">
        <v>1389</v>
      </c>
      <c r="AC53" s="11">
        <v>1666.8</v>
      </c>
    </row>
    <row r="54" spans="1:29" x14ac:dyDescent="0.2">
      <c r="A54" s="5" t="s">
        <v>37</v>
      </c>
      <c r="B54" s="6">
        <v>2</v>
      </c>
      <c r="C54" s="15" t="s">
        <v>22</v>
      </c>
      <c r="D54" s="8">
        <v>22</v>
      </c>
      <c r="E54" s="7" t="s">
        <v>46</v>
      </c>
      <c r="F54" s="7" t="s">
        <v>54</v>
      </c>
      <c r="G54" s="9">
        <v>5556</v>
      </c>
      <c r="H54" s="10" t="s">
        <v>27</v>
      </c>
      <c r="I54" s="11">
        <v>132</v>
      </c>
      <c r="J54" s="11">
        <v>400</v>
      </c>
      <c r="K54" s="11">
        <v>50</v>
      </c>
      <c r="L54" s="11">
        <v>250</v>
      </c>
      <c r="M54" s="12">
        <v>120</v>
      </c>
      <c r="N54" s="11">
        <v>65</v>
      </c>
      <c r="O54" s="11">
        <v>134</v>
      </c>
      <c r="P54" s="11">
        <v>6</v>
      </c>
      <c r="Q54" s="13" t="s">
        <v>40</v>
      </c>
      <c r="R54" s="6">
        <v>295.41000000000003</v>
      </c>
      <c r="S54" s="7">
        <v>343</v>
      </c>
      <c r="T54" s="11">
        <v>240.1</v>
      </c>
      <c r="U54" s="11">
        <v>100</v>
      </c>
      <c r="V54" s="11">
        <v>22</v>
      </c>
      <c r="W54" s="11">
        <v>54</v>
      </c>
      <c r="X54" s="14">
        <v>1573.1</v>
      </c>
      <c r="Y54" s="11">
        <v>722.28</v>
      </c>
      <c r="Z54" s="11">
        <v>1111.2</v>
      </c>
      <c r="AA54" s="11">
        <v>944.5200000000001</v>
      </c>
      <c r="AB54" s="11">
        <v>1389</v>
      </c>
      <c r="AC54" s="11">
        <v>1666.8</v>
      </c>
    </row>
    <row r="55" spans="1:29" x14ac:dyDescent="0.2">
      <c r="A55" s="5" t="s">
        <v>38</v>
      </c>
      <c r="B55" s="6">
        <v>29</v>
      </c>
      <c r="C55" s="7" t="s">
        <v>26</v>
      </c>
      <c r="D55" s="8">
        <v>18</v>
      </c>
      <c r="E55" s="7" t="s">
        <v>46</v>
      </c>
      <c r="F55" s="7" t="s">
        <v>54</v>
      </c>
      <c r="G55" s="9">
        <v>4782</v>
      </c>
      <c r="H55" s="10" t="s">
        <v>34</v>
      </c>
      <c r="I55" s="11">
        <v>132</v>
      </c>
      <c r="J55" s="11">
        <v>400</v>
      </c>
      <c r="K55" s="11">
        <v>50</v>
      </c>
      <c r="L55" s="11">
        <v>250</v>
      </c>
      <c r="M55" s="12">
        <v>120</v>
      </c>
      <c r="N55" s="11">
        <v>65</v>
      </c>
      <c r="O55" s="11">
        <v>134</v>
      </c>
      <c r="P55" s="11">
        <v>6</v>
      </c>
      <c r="Q55" s="13" t="s">
        <v>43</v>
      </c>
      <c r="R55" s="6">
        <v>295.41000000000003</v>
      </c>
      <c r="S55" s="7">
        <v>399</v>
      </c>
      <c r="T55" s="11">
        <v>279.29999999999995</v>
      </c>
      <c r="U55" s="11">
        <v>100</v>
      </c>
      <c r="V55" s="11">
        <v>25</v>
      </c>
      <c r="W55" s="11">
        <v>57</v>
      </c>
      <c r="X55" s="14">
        <v>1618.3</v>
      </c>
      <c r="Y55" s="11">
        <v>621.66</v>
      </c>
      <c r="Z55" s="11">
        <v>956.40000000000009</v>
      </c>
      <c r="AA55" s="11">
        <v>812.94</v>
      </c>
      <c r="AB55" s="11">
        <v>1195.5</v>
      </c>
      <c r="AC55" s="11">
        <v>1434.6</v>
      </c>
    </row>
    <row r="56" spans="1:29" x14ac:dyDescent="0.2">
      <c r="A56" s="5" t="s">
        <v>38</v>
      </c>
      <c r="B56" s="6">
        <v>11</v>
      </c>
      <c r="C56" s="15" t="s">
        <v>26</v>
      </c>
      <c r="D56" s="8">
        <v>17</v>
      </c>
      <c r="E56" s="7" t="s">
        <v>46</v>
      </c>
      <c r="F56" s="7" t="s">
        <v>54</v>
      </c>
      <c r="G56" s="9">
        <v>4782</v>
      </c>
      <c r="H56" s="10" t="s">
        <v>34</v>
      </c>
      <c r="I56" s="11">
        <v>132</v>
      </c>
      <c r="J56" s="11">
        <v>400</v>
      </c>
      <c r="K56" s="11">
        <v>50</v>
      </c>
      <c r="L56" s="11">
        <v>250</v>
      </c>
      <c r="M56" s="12">
        <v>120</v>
      </c>
      <c r="N56" s="11">
        <v>65</v>
      </c>
      <c r="O56" s="11">
        <v>134</v>
      </c>
      <c r="P56" s="11">
        <v>6</v>
      </c>
      <c r="Q56" s="13" t="s">
        <v>43</v>
      </c>
      <c r="R56" s="6">
        <v>295.41000000000003</v>
      </c>
      <c r="S56" s="7">
        <v>399</v>
      </c>
      <c r="T56" s="11">
        <v>279.29999999999995</v>
      </c>
      <c r="U56" s="11">
        <v>100</v>
      </c>
      <c r="V56" s="11">
        <v>25</v>
      </c>
      <c r="W56" s="11">
        <v>57</v>
      </c>
      <c r="X56" s="14">
        <v>1618.3</v>
      </c>
      <c r="Y56" s="11">
        <v>621.66</v>
      </c>
      <c r="Z56" s="11">
        <v>956.40000000000009</v>
      </c>
      <c r="AA56" s="11">
        <v>812.94</v>
      </c>
      <c r="AB56" s="11">
        <v>1195.5</v>
      </c>
      <c r="AC56" s="11">
        <v>1434.6</v>
      </c>
    </row>
    <row r="57" spans="1:29" x14ac:dyDescent="0.2">
      <c r="A57" s="5" t="s">
        <v>38</v>
      </c>
      <c r="B57" s="6">
        <v>23</v>
      </c>
      <c r="C57" s="15" t="s">
        <v>26</v>
      </c>
      <c r="D57" s="8">
        <v>18</v>
      </c>
      <c r="E57" s="7" t="s">
        <v>46</v>
      </c>
      <c r="F57" s="7" t="s">
        <v>54</v>
      </c>
      <c r="G57" s="9">
        <v>4782</v>
      </c>
      <c r="H57" s="10" t="s">
        <v>34</v>
      </c>
      <c r="I57" s="11">
        <v>132</v>
      </c>
      <c r="J57" s="11">
        <v>400</v>
      </c>
      <c r="K57" s="11">
        <v>50</v>
      </c>
      <c r="L57" s="11">
        <v>250</v>
      </c>
      <c r="M57" s="12">
        <v>120</v>
      </c>
      <c r="N57" s="11">
        <v>65</v>
      </c>
      <c r="O57" s="11">
        <v>134</v>
      </c>
      <c r="P57" s="11">
        <v>6</v>
      </c>
      <c r="Q57" s="13" t="s">
        <v>43</v>
      </c>
      <c r="R57" s="6">
        <v>295.41000000000003</v>
      </c>
      <c r="S57" s="7">
        <v>399</v>
      </c>
      <c r="T57" s="11">
        <v>279.29999999999995</v>
      </c>
      <c r="U57" s="11">
        <v>100</v>
      </c>
      <c r="V57" s="11">
        <v>25</v>
      </c>
      <c r="W57" s="11">
        <v>57</v>
      </c>
      <c r="X57" s="14">
        <v>1618.3</v>
      </c>
      <c r="Y57" s="11">
        <v>621.66</v>
      </c>
      <c r="Z57" s="11">
        <v>956.40000000000009</v>
      </c>
      <c r="AA57" s="11">
        <v>812.94</v>
      </c>
      <c r="AB57" s="11">
        <v>1195.5</v>
      </c>
      <c r="AC57" s="11">
        <v>1434.6</v>
      </c>
    </row>
    <row r="58" spans="1:29" x14ac:dyDescent="0.2">
      <c r="A58" s="5" t="s">
        <v>38</v>
      </c>
      <c r="B58" s="6">
        <v>23</v>
      </c>
      <c r="C58" s="15" t="s">
        <v>26</v>
      </c>
      <c r="D58" s="8">
        <v>18</v>
      </c>
      <c r="E58" s="7" t="s">
        <v>46</v>
      </c>
      <c r="F58" s="7" t="s">
        <v>54</v>
      </c>
      <c r="G58" s="9">
        <v>4782</v>
      </c>
      <c r="H58" s="10" t="s">
        <v>34</v>
      </c>
      <c r="I58" s="11">
        <v>132</v>
      </c>
      <c r="J58" s="11">
        <v>400</v>
      </c>
      <c r="K58" s="11">
        <v>50</v>
      </c>
      <c r="L58" s="11">
        <v>250</v>
      </c>
      <c r="M58" s="12">
        <v>120</v>
      </c>
      <c r="N58" s="11">
        <v>65</v>
      </c>
      <c r="O58" s="11">
        <v>134</v>
      </c>
      <c r="P58" s="11">
        <v>6</v>
      </c>
      <c r="Q58" s="13" t="s">
        <v>43</v>
      </c>
      <c r="R58" s="6">
        <v>295.41000000000003</v>
      </c>
      <c r="S58" s="7">
        <v>399</v>
      </c>
      <c r="T58" s="11">
        <v>279.29999999999995</v>
      </c>
      <c r="U58" s="11">
        <v>100</v>
      </c>
      <c r="V58" s="11">
        <v>25</v>
      </c>
      <c r="W58" s="11">
        <v>57</v>
      </c>
      <c r="X58" s="14">
        <v>1618.3</v>
      </c>
      <c r="Y58" s="11">
        <v>621.66</v>
      </c>
      <c r="Z58" s="11">
        <v>956.40000000000009</v>
      </c>
      <c r="AA58" s="11">
        <v>812.94</v>
      </c>
      <c r="AB58" s="11">
        <v>1195.5</v>
      </c>
      <c r="AC58" s="11">
        <v>1434.6</v>
      </c>
    </row>
    <row r="59" spans="1:29" x14ac:dyDescent="0.2">
      <c r="A59" s="5" t="s">
        <v>38</v>
      </c>
      <c r="B59" s="6">
        <v>29</v>
      </c>
      <c r="C59" s="7" t="s">
        <v>26</v>
      </c>
      <c r="D59" s="8">
        <v>18</v>
      </c>
      <c r="E59" s="7" t="s">
        <v>46</v>
      </c>
      <c r="F59" s="7" t="s">
        <v>54</v>
      </c>
      <c r="G59" s="9">
        <v>4782</v>
      </c>
      <c r="H59" s="10" t="s">
        <v>34</v>
      </c>
      <c r="I59" s="11">
        <v>132</v>
      </c>
      <c r="J59" s="11">
        <v>400</v>
      </c>
      <c r="K59" s="11">
        <v>50</v>
      </c>
      <c r="L59" s="11">
        <v>250</v>
      </c>
      <c r="M59" s="12">
        <v>120</v>
      </c>
      <c r="N59" s="11">
        <v>65</v>
      </c>
      <c r="O59" s="11">
        <v>134</v>
      </c>
      <c r="P59" s="11">
        <v>6</v>
      </c>
      <c r="Q59" s="13" t="s">
        <v>43</v>
      </c>
      <c r="R59" s="6">
        <v>295.41000000000003</v>
      </c>
      <c r="S59" s="7">
        <v>399</v>
      </c>
      <c r="T59" s="11">
        <v>279.29999999999995</v>
      </c>
      <c r="U59" s="11">
        <v>100</v>
      </c>
      <c r="V59" s="11">
        <v>25</v>
      </c>
      <c r="W59" s="11">
        <v>57</v>
      </c>
      <c r="X59" s="14">
        <v>1618.3</v>
      </c>
      <c r="Y59" s="11">
        <v>621.66</v>
      </c>
      <c r="Z59" s="11">
        <v>956.40000000000009</v>
      </c>
      <c r="AA59" s="11">
        <v>812.94</v>
      </c>
      <c r="AB59" s="11">
        <v>1195.5</v>
      </c>
      <c r="AC59" s="11">
        <v>1434.6</v>
      </c>
    </row>
    <row r="60" spans="1:29" x14ac:dyDescent="0.2">
      <c r="A60" s="5" t="s">
        <v>39</v>
      </c>
      <c r="B60" s="6">
        <v>12</v>
      </c>
      <c r="C60" s="15" t="s">
        <v>22</v>
      </c>
      <c r="D60" s="8">
        <v>12.9</v>
      </c>
      <c r="E60" s="7" t="s">
        <v>46</v>
      </c>
      <c r="F60" s="7" t="s">
        <v>54</v>
      </c>
      <c r="G60" s="9">
        <v>5287</v>
      </c>
      <c r="H60" s="10" t="s">
        <v>34</v>
      </c>
      <c r="I60" s="11">
        <v>132</v>
      </c>
      <c r="J60" s="11">
        <v>400</v>
      </c>
      <c r="K60" s="11">
        <v>50</v>
      </c>
      <c r="L60" s="11">
        <v>250</v>
      </c>
      <c r="M60" s="12">
        <v>134</v>
      </c>
      <c r="N60" s="11"/>
      <c r="O60" s="11">
        <v>134</v>
      </c>
      <c r="P60" s="11">
        <v>6</v>
      </c>
      <c r="Q60" s="13" t="s">
        <v>43</v>
      </c>
      <c r="R60" s="6">
        <v>295.41000000000003</v>
      </c>
      <c r="S60" s="7">
        <v>343</v>
      </c>
      <c r="T60" s="11">
        <v>240.1</v>
      </c>
      <c r="U60" s="11">
        <v>100</v>
      </c>
      <c r="V60" s="11">
        <v>26</v>
      </c>
      <c r="W60" s="11">
        <v>58</v>
      </c>
      <c r="X60" s="14">
        <v>1530.1</v>
      </c>
      <c r="Y60" s="11">
        <v>687.31000000000006</v>
      </c>
      <c r="Z60" s="11">
        <v>1057.4000000000001</v>
      </c>
      <c r="AA60" s="11">
        <v>898.79000000000008</v>
      </c>
      <c r="AB60" s="11">
        <v>1321.75</v>
      </c>
      <c r="AC60" s="11">
        <v>1586.1</v>
      </c>
    </row>
    <row r="61" spans="1:29" x14ac:dyDescent="0.2">
      <c r="A61" s="5" t="s">
        <v>39</v>
      </c>
      <c r="B61" s="6">
        <v>24</v>
      </c>
      <c r="C61" s="15" t="s">
        <v>22</v>
      </c>
      <c r="D61" s="8">
        <v>18</v>
      </c>
      <c r="E61" s="7" t="s">
        <v>46</v>
      </c>
      <c r="F61" s="7" t="s">
        <v>54</v>
      </c>
      <c r="G61" s="9">
        <v>5287</v>
      </c>
      <c r="H61" s="10" t="s">
        <v>34</v>
      </c>
      <c r="I61" s="11">
        <v>132</v>
      </c>
      <c r="J61" s="11">
        <v>400</v>
      </c>
      <c r="K61" s="11">
        <v>50</v>
      </c>
      <c r="L61" s="11">
        <v>250</v>
      </c>
      <c r="M61" s="12">
        <v>134</v>
      </c>
      <c r="N61" s="11"/>
      <c r="O61" s="11">
        <v>134</v>
      </c>
      <c r="P61" s="11">
        <v>6</v>
      </c>
      <c r="Q61" s="13" t="s">
        <v>43</v>
      </c>
      <c r="R61" s="6">
        <v>295.41000000000003</v>
      </c>
      <c r="S61" s="7">
        <v>343</v>
      </c>
      <c r="T61" s="11">
        <v>240.1</v>
      </c>
      <c r="U61" s="11">
        <v>100</v>
      </c>
      <c r="V61" s="11">
        <v>26</v>
      </c>
      <c r="W61" s="11">
        <v>58</v>
      </c>
      <c r="X61" s="14">
        <v>1530.1</v>
      </c>
      <c r="Y61" s="11">
        <v>687.31000000000006</v>
      </c>
      <c r="Z61" s="11">
        <v>1057.4000000000001</v>
      </c>
      <c r="AA61" s="11">
        <v>898.79000000000008</v>
      </c>
      <c r="AB61" s="11">
        <v>1321.75</v>
      </c>
      <c r="AC61" s="11">
        <v>1586.1</v>
      </c>
    </row>
    <row r="62" spans="1:29" x14ac:dyDescent="0.2">
      <c r="A62" s="5" t="s">
        <v>39</v>
      </c>
      <c r="B62" s="6">
        <v>25</v>
      </c>
      <c r="C62" s="15" t="s">
        <v>22</v>
      </c>
      <c r="D62" s="8">
        <v>18</v>
      </c>
      <c r="E62" s="7" t="s">
        <v>46</v>
      </c>
      <c r="F62" s="7" t="s">
        <v>54</v>
      </c>
      <c r="G62" s="9">
        <v>5287</v>
      </c>
      <c r="H62" s="10" t="s">
        <v>34</v>
      </c>
      <c r="I62" s="11">
        <v>132</v>
      </c>
      <c r="J62" s="11">
        <v>400</v>
      </c>
      <c r="K62" s="11">
        <v>50</v>
      </c>
      <c r="L62" s="11">
        <v>250</v>
      </c>
      <c r="M62" s="12">
        <v>134</v>
      </c>
      <c r="N62" s="11"/>
      <c r="O62" s="11">
        <v>134</v>
      </c>
      <c r="P62" s="11">
        <v>6</v>
      </c>
      <c r="Q62" s="13" t="s">
        <v>43</v>
      </c>
      <c r="R62" s="6">
        <v>295.41000000000003</v>
      </c>
      <c r="S62" s="7">
        <v>343</v>
      </c>
      <c r="T62" s="11">
        <v>240.1</v>
      </c>
      <c r="U62" s="11">
        <v>100</v>
      </c>
      <c r="V62" s="11">
        <v>26</v>
      </c>
      <c r="W62" s="11">
        <v>58</v>
      </c>
      <c r="X62" s="14">
        <v>1530.1</v>
      </c>
      <c r="Y62" s="11">
        <v>687.31000000000006</v>
      </c>
      <c r="Z62" s="11">
        <v>1057.4000000000001</v>
      </c>
      <c r="AA62" s="11">
        <v>898.79000000000008</v>
      </c>
      <c r="AB62" s="11">
        <v>1321.75</v>
      </c>
      <c r="AC62" s="11">
        <v>1586.1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BF4D-FE8D-A848-B554-BF95CF3DBFF1}">
  <sheetPr codeName="Sheet2"/>
  <dimension ref="A1:BQ27"/>
  <sheetViews>
    <sheetView showGridLines="0" topLeftCell="BJ1" zoomScale="137" workbookViewId="0">
      <selection activeCell="BP9" sqref="BP9"/>
    </sheetView>
  </sheetViews>
  <sheetFormatPr baseColWidth="10" defaultRowHeight="15" x14ac:dyDescent="0.2"/>
  <cols>
    <col min="2" max="2" width="12.83203125" bestFit="1" customWidth="1"/>
    <col min="3" max="3" width="13" bestFit="1" customWidth="1"/>
    <col min="4" max="4" width="9" bestFit="1" customWidth="1"/>
    <col min="7" max="7" width="15.5" bestFit="1" customWidth="1"/>
    <col min="8" max="8" width="8.6640625" bestFit="1" customWidth="1"/>
    <col min="12" max="12" width="16" bestFit="1" customWidth="1"/>
    <col min="13" max="13" width="16.6640625" bestFit="1" customWidth="1"/>
    <col min="17" max="17" width="15.33203125" bestFit="1" customWidth="1"/>
    <col min="18" max="18" width="7.83203125" bestFit="1" customWidth="1"/>
    <col min="19" max="19" width="24.5" customWidth="1"/>
    <col min="20" max="20" width="8.1640625" bestFit="1" customWidth="1"/>
    <col min="23" max="23" width="15.5" bestFit="1" customWidth="1"/>
    <col min="24" max="24" width="12.33203125" bestFit="1" customWidth="1"/>
    <col min="25" max="25" width="10.1640625" bestFit="1" customWidth="1"/>
    <col min="26" max="26" width="13.5" bestFit="1" customWidth="1"/>
    <col min="29" max="29" width="13" bestFit="1" customWidth="1"/>
    <col min="30" max="30" width="13.5" bestFit="1" customWidth="1"/>
    <col min="31" max="31" width="7.33203125" customWidth="1"/>
    <col min="32" max="32" width="9" customWidth="1"/>
    <col min="35" max="35" width="12.1640625" bestFit="1" customWidth="1"/>
    <col min="36" max="36" width="10.33203125" bestFit="1" customWidth="1"/>
    <col min="37" max="37" width="18.5" bestFit="1" customWidth="1"/>
    <col min="40" max="40" width="14.6640625" bestFit="1" customWidth="1"/>
    <col min="41" max="41" width="11" bestFit="1" customWidth="1"/>
    <col min="42" max="42" width="18" bestFit="1" customWidth="1"/>
    <col min="43" max="43" width="15" bestFit="1" customWidth="1"/>
    <col min="44" max="44" width="13.5" bestFit="1" customWidth="1"/>
    <col min="45" max="45" width="19.6640625" bestFit="1" customWidth="1"/>
    <col min="48" max="49" width="20.5" bestFit="1" customWidth="1"/>
    <col min="50" max="50" width="14.6640625" bestFit="1" customWidth="1"/>
    <col min="51" max="51" width="17.1640625" bestFit="1" customWidth="1"/>
    <col min="52" max="52" width="10.5" bestFit="1" customWidth="1"/>
    <col min="53" max="53" width="14" bestFit="1" customWidth="1"/>
    <col min="54" max="54" width="13.6640625" bestFit="1" customWidth="1"/>
    <col min="57" max="57" width="22" bestFit="1" customWidth="1"/>
    <col min="58" max="58" width="25.83203125" bestFit="1" customWidth="1"/>
    <col min="59" max="59" width="13.83203125" bestFit="1" customWidth="1"/>
    <col min="60" max="60" width="16" bestFit="1" customWidth="1"/>
    <col min="61" max="61" width="17.1640625" bestFit="1" customWidth="1"/>
    <col min="64" max="64" width="14.6640625" bestFit="1" customWidth="1"/>
    <col min="65" max="65" width="11.6640625" bestFit="1" customWidth="1"/>
    <col min="66" max="66" width="13.1640625" bestFit="1" customWidth="1"/>
    <col min="67" max="67" width="16" bestFit="1" customWidth="1"/>
    <col min="69" max="69" width="12.83203125" bestFit="1" customWidth="1"/>
  </cols>
  <sheetData>
    <row r="1" spans="1:69" ht="16" x14ac:dyDescent="0.2">
      <c r="G1" s="26"/>
      <c r="L1" s="26"/>
    </row>
    <row r="2" spans="1:69" ht="25" customHeight="1" x14ac:dyDescent="0.2">
      <c r="A2" s="54" t="s">
        <v>67</v>
      </c>
      <c r="B2" s="55"/>
      <c r="C2" s="55"/>
      <c r="D2" s="55"/>
      <c r="E2" s="55"/>
      <c r="G2" s="27" t="s">
        <v>70</v>
      </c>
      <c r="L2" s="27" t="s">
        <v>45</v>
      </c>
      <c r="Q2" s="27" t="s">
        <v>73</v>
      </c>
      <c r="W2" s="27" t="s">
        <v>78</v>
      </c>
      <c r="AC2" s="27"/>
      <c r="AO2" s="27" t="s">
        <v>87</v>
      </c>
      <c r="AX2" s="27" t="s">
        <v>96</v>
      </c>
      <c r="BE2" s="27" t="s">
        <v>96</v>
      </c>
      <c r="BL2" s="27" t="s">
        <v>111</v>
      </c>
    </row>
    <row r="3" spans="1:69" x14ac:dyDescent="0.2">
      <c r="A3" s="21"/>
      <c r="B3" s="21"/>
      <c r="C3" s="21"/>
      <c r="D3" s="21"/>
      <c r="E3" s="21"/>
    </row>
    <row r="4" spans="1:69" x14ac:dyDescent="0.2">
      <c r="A4" s="21"/>
      <c r="B4" s="21"/>
      <c r="C4" s="21"/>
      <c r="D4" s="21"/>
      <c r="E4" s="21"/>
    </row>
    <row r="5" spans="1:69" s="16" customFormat="1" ht="37" customHeight="1" x14ac:dyDescent="0.2">
      <c r="A5" s="19"/>
      <c r="B5" s="19" t="s">
        <v>64</v>
      </c>
      <c r="C5" s="19" t="s">
        <v>65</v>
      </c>
      <c r="D5" s="19" t="s">
        <v>66</v>
      </c>
      <c r="E5" s="22"/>
      <c r="G5" s="16" t="s">
        <v>71</v>
      </c>
      <c r="J5" s="22"/>
      <c r="L5" s="28" t="s">
        <v>47</v>
      </c>
      <c r="M5" s="28" t="s">
        <v>46</v>
      </c>
      <c r="O5" s="22"/>
      <c r="Q5" s="36" t="s">
        <v>5</v>
      </c>
      <c r="R5" s="36" t="s">
        <v>6</v>
      </c>
      <c r="S5" s="36" t="s">
        <v>7</v>
      </c>
      <c r="T5" s="36" t="s">
        <v>8</v>
      </c>
      <c r="U5"/>
      <c r="V5"/>
      <c r="W5" s="36" t="s">
        <v>9</v>
      </c>
      <c r="X5" s="36" t="s">
        <v>83</v>
      </c>
      <c r="Y5" s="36" t="s">
        <v>11</v>
      </c>
      <c r="Z5" s="36" t="s">
        <v>12</v>
      </c>
      <c r="AA5"/>
      <c r="AB5"/>
      <c r="AC5" s="36"/>
      <c r="AD5" s="27" t="s">
        <v>84</v>
      </c>
      <c r="AE5" s="36"/>
      <c r="AF5" s="36"/>
      <c r="AJ5" s="27" t="s">
        <v>86</v>
      </c>
      <c r="AN5" s="36" t="s">
        <v>94</v>
      </c>
      <c r="AO5" s="36" t="s">
        <v>15</v>
      </c>
      <c r="AP5" s="36" t="s">
        <v>16</v>
      </c>
      <c r="AQ5" s="36" t="s">
        <v>17</v>
      </c>
      <c r="AR5" s="16" t="s">
        <v>18</v>
      </c>
      <c r="AS5" s="16" t="s">
        <v>19</v>
      </c>
      <c r="AV5" s="16" t="s">
        <v>95</v>
      </c>
      <c r="AW5"/>
      <c r="AX5" s="36" t="s">
        <v>48</v>
      </c>
      <c r="AY5" s="36" t="s">
        <v>98</v>
      </c>
      <c r="AZ5" s="36"/>
      <c r="BA5" s="36"/>
      <c r="BB5"/>
      <c r="BD5"/>
      <c r="BE5" s="53" t="s">
        <v>104</v>
      </c>
      <c r="BF5" s="53" t="s">
        <v>105</v>
      </c>
      <c r="BG5" s="53" t="s">
        <v>60</v>
      </c>
      <c r="BH5" s="53" t="s">
        <v>106</v>
      </c>
      <c r="BI5" s="53" t="s">
        <v>59</v>
      </c>
      <c r="BK5"/>
      <c r="BL5" s="53" t="str">
        <f>BL11</f>
        <v>Iron</v>
      </c>
      <c r="BM5" s="53" t="s">
        <v>24</v>
      </c>
      <c r="BN5" s="53" t="s">
        <v>22</v>
      </c>
      <c r="BO5" s="53"/>
      <c r="BP5" s="64" t="s">
        <v>109</v>
      </c>
      <c r="BQ5" s="65" t="s">
        <v>110</v>
      </c>
    </row>
    <row r="6" spans="1:69" ht="23" customHeight="1" x14ac:dyDescent="0.2">
      <c r="A6" s="21"/>
      <c r="B6" s="23">
        <f>GETPIVOTDATA("Sum of Rate",$B$10)</f>
        <v>359038</v>
      </c>
      <c r="C6" s="23">
        <f>GETPIVOTDATA("Sum of Total Expenses",$B$10)</f>
        <v>94845.100000000108</v>
      </c>
      <c r="D6" s="24">
        <f>GETPIVOTDATA("Sum of Balance",$B$10)</f>
        <v>264192.89999999991</v>
      </c>
      <c r="E6" s="25"/>
      <c r="G6" s="23">
        <f>GETPIVOTDATA("Balance",$G$10)</f>
        <v>264192.89999999991</v>
      </c>
      <c r="J6" s="25"/>
      <c r="L6" s="32">
        <f>IFERROR(GETPIVOTDATA("Customer Type",$L$10,"Customer Type","New Customer"),0)</f>
        <v>11</v>
      </c>
      <c r="M6" s="32">
        <f>GETPIVOTDATA("Customer Type",$L$10,"Customer Type","Retaining Customer")</f>
        <v>50</v>
      </c>
      <c r="O6" s="25"/>
      <c r="Q6" s="37">
        <f>GETPIVOTDATA("Sum of Insurance",$Q$10)</f>
        <v>8052</v>
      </c>
      <c r="R6" s="37">
        <f>GETPIVOTDATA("Sum of Fuel",$Q$10)</f>
        <v>23720</v>
      </c>
      <c r="S6" s="37">
        <f>GETPIVOTDATA("Sum of Diesel Exhaust Fluid",$Q$10)</f>
        <v>3164</v>
      </c>
      <c r="T6" s="37">
        <f>GETPIVOTDATA("Sum of Advance",$Q$10)</f>
        <v>15250</v>
      </c>
      <c r="U6" s="22"/>
      <c r="V6" s="16"/>
      <c r="W6" s="37">
        <f>GETPIVOTDATA("Sum of Warehouse",$W$10)</f>
        <v>7785</v>
      </c>
      <c r="X6" s="37">
        <f>GETPIVOTDATA("Sum of Repairs",$W$10)</f>
        <v>2215</v>
      </c>
      <c r="Y6" s="37">
        <f>GETPIVOTDATA("Sum of Tolls",$W$10)</f>
        <v>7372</v>
      </c>
      <c r="Z6" s="37">
        <f>GETPIVOTDATA("Sum of Fundings",$W$10)</f>
        <v>1196</v>
      </c>
      <c r="AA6" s="22"/>
      <c r="AB6" s="16"/>
      <c r="AC6" s="37"/>
      <c r="AD6" s="37"/>
      <c r="AE6" s="37"/>
      <c r="AF6" s="37"/>
      <c r="AL6" s="16"/>
      <c r="AM6" s="16"/>
      <c r="AN6" s="37">
        <f>GETPIVOTDATA("Sum of Odometer",$AN$10)</f>
        <v>4173.33</v>
      </c>
      <c r="AO6" s="37">
        <f>GETPIVOTDATA("Sum of Miles",$AN$10)</f>
        <v>4941</v>
      </c>
      <c r="AP6" s="37">
        <f>GETPIVOTDATA("Sum of Rate Per Miles",$AN$10)</f>
        <v>3458.6999999999994</v>
      </c>
      <c r="AQ6" s="37">
        <f>GETPIVOTDATA("Sum of Extra Stops",$AN$10)</f>
        <v>1400</v>
      </c>
      <c r="AR6" s="37">
        <f>GETPIVOTDATA("Sum of Extra Pay",$AN$10)</f>
        <v>347</v>
      </c>
      <c r="AS6" s="37">
        <f>GETPIVOTDATA("Sum of Costs Driver Paid",$AN$10)</f>
        <v>795</v>
      </c>
      <c r="AV6" s="45">
        <f>SUM(GETPIVOTDATA("Sum of Extra Pay",$AN$10), GETPIVOTDATA("Sum of Extra Stops",$AN$10), GETPIVOTDATA("Sum of Rate Per Miles",$AN$10))</f>
        <v>5205.6999999999989</v>
      </c>
      <c r="AW6" s="16"/>
      <c r="AX6" s="48">
        <f>COUNTA(BA11:BA18)</f>
        <v>7</v>
      </c>
      <c r="AY6" s="48">
        <f>SUM(BB11:BB18)</f>
        <v>61</v>
      </c>
      <c r="AZ6" s="37"/>
      <c r="BA6" s="37"/>
      <c r="BB6" s="19"/>
      <c r="BD6" s="16"/>
      <c r="BE6" s="37">
        <f>GETPIVOTDATA("Sum of First condition type",$BE$10)</f>
        <v>46674.94</v>
      </c>
      <c r="BF6" s="37">
        <f>GETPIVOTDATA("Sum of Shipment cost sub-items",$BE$10)</f>
        <v>71807.599999999919</v>
      </c>
      <c r="BG6" s="37">
        <f>GETPIVOTDATA("Sum of ERE Stage",$BE$10)</f>
        <v>61036.45999999997</v>
      </c>
      <c r="BH6" s="37">
        <f>GETPIVOTDATA("Sum of Basic freight",$BE$10)</f>
        <v>89759.5</v>
      </c>
      <c r="BI6" s="37">
        <f>GETPIVOTDATA("Sum of Final Amount",$BE$10)</f>
        <v>107711.40000000004</v>
      </c>
      <c r="BK6" s="16"/>
      <c r="BL6" s="62">
        <f>GETPIVOTDATA("Count of Load",$BL$10,"Load","Iron")</f>
        <v>13</v>
      </c>
      <c r="BM6" s="62">
        <f>GETPIVOTDATA("Count of Load",$BL$10,"Load","Sand")</f>
        <v>17</v>
      </c>
      <c r="BN6" s="62">
        <f>GETPIVOTDATA("Count of Load",$BL$10,"Load","Wood")</f>
        <v>31</v>
      </c>
      <c r="BO6" s="37"/>
      <c r="BP6" s="62">
        <f>GETPIVOTDATA("Count of Load",$BL$10)</f>
        <v>61</v>
      </c>
      <c r="BQ6" s="37">
        <f>GETPIVOTDATA("Sum of Tonnage",$BL$10)</f>
        <v>1047.7999999999997</v>
      </c>
    </row>
    <row r="7" spans="1:69" ht="20" customHeight="1" x14ac:dyDescent="0.2">
      <c r="A7" s="21"/>
      <c r="B7" s="18">
        <f>B6/SUM(C6,B6)</f>
        <v>0.79103628224976852</v>
      </c>
      <c r="C7" s="18">
        <f>C6/SUM(C6,B6)</f>
        <v>0.20896371775023148</v>
      </c>
      <c r="D7" s="21"/>
      <c r="E7" s="25"/>
      <c r="J7" s="25"/>
      <c r="O7" s="25"/>
      <c r="U7" s="25"/>
      <c r="AA7" s="25"/>
      <c r="BB7" s="21"/>
      <c r="BL7" s="45">
        <f>GETPIVOTDATA("Sum of Tonnage",$BL$10,"Load","Iron")</f>
        <v>235.8</v>
      </c>
      <c r="BM7" s="45">
        <f>GETPIVOTDATA("Sum of Tonnage",$BL$10,"Load","Sand")</f>
        <v>283.89999999999998</v>
      </c>
      <c r="BN7" s="45">
        <f>GETPIVOTDATA("Sum of Tonnage",$BL$10,"Load","Wood")</f>
        <v>528.09999999999991</v>
      </c>
    </row>
    <row r="8" spans="1:69" ht="16" x14ac:dyDescent="0.2">
      <c r="E8" s="20"/>
      <c r="J8" s="20"/>
      <c r="O8" s="20"/>
      <c r="U8" s="25"/>
      <c r="AA8" s="25"/>
      <c r="AG8" s="22"/>
      <c r="AH8" s="16"/>
      <c r="BB8" s="21"/>
    </row>
    <row r="9" spans="1:69" ht="16" x14ac:dyDescent="0.2">
      <c r="E9" s="20"/>
      <c r="J9" s="20"/>
      <c r="O9" s="20"/>
      <c r="U9" s="20"/>
      <c r="AA9" s="20"/>
      <c r="AG9" s="25"/>
      <c r="AL9" s="22"/>
      <c r="AM9" s="16"/>
      <c r="AT9" s="22"/>
      <c r="AU9" s="16"/>
      <c r="AV9" s="22"/>
      <c r="BC9" s="22"/>
      <c r="BJ9" s="22"/>
      <c r="BQ9" s="22"/>
    </row>
    <row r="10" spans="1:69" s="33" customFormat="1" ht="34" x14ac:dyDescent="0.2">
      <c r="B10" s="34" t="s">
        <v>61</v>
      </c>
      <c r="C10" s="34" t="s">
        <v>62</v>
      </c>
      <c r="D10" s="34" t="s">
        <v>63</v>
      </c>
      <c r="E10" s="35"/>
      <c r="G10" s="52" t="s">
        <v>68</v>
      </c>
      <c r="H10" s="51" t="s">
        <v>63</v>
      </c>
      <c r="J10" s="35"/>
      <c r="L10" s="66" t="s">
        <v>68</v>
      </c>
      <c r="M10" s="67" t="s">
        <v>72</v>
      </c>
      <c r="O10" s="35"/>
      <c r="Q10" s="68" t="s">
        <v>74</v>
      </c>
      <c r="R10" s="68" t="s">
        <v>75</v>
      </c>
      <c r="S10" s="68" t="s">
        <v>76</v>
      </c>
      <c r="T10" s="68" t="s">
        <v>77</v>
      </c>
      <c r="U10" s="20"/>
      <c r="V10"/>
      <c r="W10" s="56" t="s">
        <v>79</v>
      </c>
      <c r="X10" s="56" t="s">
        <v>80</v>
      </c>
      <c r="Y10" s="56" t="s">
        <v>81</v>
      </c>
      <c r="Z10" s="56" t="s">
        <v>82</v>
      </c>
      <c r="AA10" s="20"/>
      <c r="AB10"/>
      <c r="AC10" s="69" t="s">
        <v>68</v>
      </c>
      <c r="AD10" s="41"/>
      <c r="AE10" s="41"/>
      <c r="AF10" s="41" t="s">
        <v>85</v>
      </c>
      <c r="AG10" s="25"/>
      <c r="AH10"/>
      <c r="AI10" s="49" t="s">
        <v>68</v>
      </c>
      <c r="AJ10" t="s">
        <v>61</v>
      </c>
      <c r="AK10" t="s">
        <v>62</v>
      </c>
      <c r="AL10" s="25"/>
      <c r="AM10"/>
      <c r="AN10" s="56" t="s">
        <v>88</v>
      </c>
      <c r="AO10" s="56" t="s">
        <v>89</v>
      </c>
      <c r="AP10" s="56" t="s">
        <v>90</v>
      </c>
      <c r="AQ10" s="56" t="s">
        <v>91</v>
      </c>
      <c r="AR10" s="56" t="s">
        <v>92</v>
      </c>
      <c r="AS10" s="56" t="s">
        <v>93</v>
      </c>
      <c r="AT10" s="25"/>
      <c r="AU10"/>
      <c r="AV10" s="25"/>
      <c r="AW10"/>
      <c r="AX10" s="60" t="s">
        <v>68</v>
      </c>
      <c r="AY10" s="58" t="s">
        <v>97</v>
      </c>
      <c r="AZ10"/>
      <c r="BA10"/>
      <c r="BB10"/>
      <c r="BC10" s="25"/>
      <c r="BD10"/>
      <c r="BE10" s="58" t="s">
        <v>99</v>
      </c>
      <c r="BF10" s="58" t="s">
        <v>100</v>
      </c>
      <c r="BG10" s="58" t="s">
        <v>101</v>
      </c>
      <c r="BH10" s="58" t="s">
        <v>102</v>
      </c>
      <c r="BI10" s="58" t="s">
        <v>103</v>
      </c>
      <c r="BJ10" s="25"/>
      <c r="BK10"/>
      <c r="BL10" s="60" t="s">
        <v>68</v>
      </c>
      <c r="BM10" s="58" t="s">
        <v>107</v>
      </c>
      <c r="BN10" s="58" t="s">
        <v>108</v>
      </c>
      <c r="BO10"/>
      <c r="BP10"/>
      <c r="BQ10" s="25"/>
    </row>
    <row r="11" spans="1:69" ht="16" x14ac:dyDescent="0.2">
      <c r="A11" s="30"/>
      <c r="B11" s="17">
        <v>359038</v>
      </c>
      <c r="C11" s="17">
        <v>94845.100000000108</v>
      </c>
      <c r="D11" s="17">
        <v>264192.89999999991</v>
      </c>
      <c r="E11" s="31"/>
      <c r="F11" s="30"/>
      <c r="G11" s="30" t="s">
        <v>21</v>
      </c>
      <c r="H11" s="17">
        <v>11948.7</v>
      </c>
      <c r="I11" s="30"/>
      <c r="J11" s="31"/>
      <c r="K11" s="30"/>
      <c r="L11" s="30" t="s">
        <v>47</v>
      </c>
      <c r="M11" s="57">
        <v>11</v>
      </c>
      <c r="O11" s="31"/>
      <c r="P11" s="30"/>
      <c r="Q11" s="29">
        <v>8052</v>
      </c>
      <c r="R11" s="29">
        <v>23720</v>
      </c>
      <c r="S11" s="29">
        <v>3164</v>
      </c>
      <c r="T11" s="29">
        <v>15250</v>
      </c>
      <c r="U11" s="35"/>
      <c r="V11" s="33"/>
      <c r="W11" s="29">
        <v>7785</v>
      </c>
      <c r="X11" s="29">
        <v>2215</v>
      </c>
      <c r="Y11" s="29">
        <v>7372</v>
      </c>
      <c r="Z11" s="29">
        <v>1196</v>
      </c>
      <c r="AA11" s="35"/>
      <c r="AB11" s="33"/>
      <c r="AC11" s="70" t="s">
        <v>21</v>
      </c>
      <c r="AD11" s="41"/>
      <c r="AE11" s="42" t="s">
        <v>21</v>
      </c>
      <c r="AF11" s="38" t="str">
        <f>IF(COUNTIF($AC$11:$AC$22, AE11), "●", "")</f>
        <v>●</v>
      </c>
      <c r="AG11" s="20"/>
      <c r="AI11" s="50" t="s">
        <v>21</v>
      </c>
      <c r="AJ11" s="29">
        <v>16668</v>
      </c>
      <c r="AK11" s="29">
        <v>4719.2999999999993</v>
      </c>
      <c r="AL11" s="25"/>
      <c r="AN11" s="29">
        <v>4173.33</v>
      </c>
      <c r="AO11" s="29">
        <v>4941</v>
      </c>
      <c r="AP11" s="29">
        <v>3458.6999999999994</v>
      </c>
      <c r="AQ11" s="29">
        <v>1400</v>
      </c>
      <c r="AR11" s="29">
        <v>347</v>
      </c>
      <c r="AS11" s="29">
        <v>795</v>
      </c>
      <c r="AT11" s="25"/>
      <c r="AV11" s="25"/>
      <c r="AW11" s="33"/>
      <c r="AX11" s="58" t="s">
        <v>49</v>
      </c>
      <c r="AY11" s="57">
        <v>4</v>
      </c>
      <c r="BA11" s="30" t="s">
        <v>49</v>
      </c>
      <c r="BB11" s="47">
        <f>IFERROR(VLOOKUP(BA11, $AX$11:$AY$18, 2, 0), "-")</f>
        <v>4</v>
      </c>
      <c r="BC11" s="25"/>
      <c r="BD11" s="33"/>
      <c r="BE11" s="59">
        <v>46674.94</v>
      </c>
      <c r="BF11" s="59">
        <v>71807.599999999919</v>
      </c>
      <c r="BG11" s="59">
        <v>61036.45999999997</v>
      </c>
      <c r="BH11" s="59">
        <v>89759.5</v>
      </c>
      <c r="BI11" s="59">
        <v>107711.40000000004</v>
      </c>
      <c r="BJ11" s="25"/>
      <c r="BK11" s="33"/>
      <c r="BL11" s="58" t="s">
        <v>26</v>
      </c>
      <c r="BM11" s="61">
        <v>13</v>
      </c>
      <c r="BN11" s="63">
        <v>235.8</v>
      </c>
      <c r="BQ11" s="25"/>
    </row>
    <row r="12" spans="1:69" ht="16" x14ac:dyDescent="0.2">
      <c r="A12" s="30"/>
      <c r="B12" s="30"/>
      <c r="C12" s="30"/>
      <c r="D12" s="30"/>
      <c r="E12" s="31"/>
      <c r="F12" s="30"/>
      <c r="G12" s="30" t="s">
        <v>23</v>
      </c>
      <c r="H12" s="17">
        <v>12138.8</v>
      </c>
      <c r="I12" s="30"/>
      <c r="J12" s="31"/>
      <c r="K12" s="30"/>
      <c r="L12" s="30" t="s">
        <v>46</v>
      </c>
      <c r="M12" s="57">
        <v>50</v>
      </c>
      <c r="O12" s="31"/>
      <c r="P12" s="30"/>
      <c r="U12" s="31"/>
      <c r="V12" s="30"/>
      <c r="AA12" s="31"/>
      <c r="AB12" s="30"/>
      <c r="AC12" s="70" t="s">
        <v>23</v>
      </c>
      <c r="AD12" s="41"/>
      <c r="AE12" s="43" t="s">
        <v>23</v>
      </c>
      <c r="AF12" s="39" t="str">
        <f t="shared" ref="AF12:AF22" si="0">IF(COUNTIF($AC$11:$AC$22, AE12), "●", "")</f>
        <v>●</v>
      </c>
      <c r="AG12" s="20"/>
      <c r="AI12" s="50" t="s">
        <v>23</v>
      </c>
      <c r="AJ12" s="29">
        <v>18268</v>
      </c>
      <c r="AK12" s="29">
        <v>6129.2</v>
      </c>
      <c r="AL12" s="20"/>
      <c r="AT12" s="20"/>
      <c r="AV12" s="20"/>
      <c r="AW12" s="30"/>
      <c r="AX12" s="58" t="s">
        <v>50</v>
      </c>
      <c r="AY12" s="57">
        <v>6</v>
      </c>
      <c r="BA12" s="30" t="s">
        <v>50</v>
      </c>
      <c r="BB12" s="47">
        <f t="shared" ref="BB12:BB16" si="1">IFERROR(VLOOKUP(BA12, $AX$11:$AY$18, 2, 0), "-")</f>
        <v>6</v>
      </c>
      <c r="BC12" s="20"/>
      <c r="BD12" s="30"/>
      <c r="BJ12" s="20"/>
      <c r="BK12" s="30"/>
      <c r="BL12" s="58" t="s">
        <v>24</v>
      </c>
      <c r="BM12" s="61">
        <v>17</v>
      </c>
      <c r="BN12" s="63">
        <v>283.89999999999998</v>
      </c>
      <c r="BQ12" s="20"/>
    </row>
    <row r="13" spans="1:69" ht="16" x14ac:dyDescent="0.2">
      <c r="A13" s="30"/>
      <c r="B13" s="30"/>
      <c r="C13" s="30"/>
      <c r="D13" s="30"/>
      <c r="E13" s="31"/>
      <c r="F13" s="30"/>
      <c r="G13" s="30" t="s">
        <v>25</v>
      </c>
      <c r="H13" s="17">
        <v>9471.5</v>
      </c>
      <c r="I13" s="30"/>
      <c r="J13" s="31"/>
      <c r="K13" s="30"/>
      <c r="L13" s="30" t="s">
        <v>69</v>
      </c>
      <c r="M13" s="57">
        <v>61</v>
      </c>
      <c r="O13" s="31"/>
      <c r="P13" s="30"/>
      <c r="U13" s="31"/>
      <c r="V13" s="30"/>
      <c r="AA13" s="31"/>
      <c r="AB13" s="30"/>
      <c r="AC13" s="70" t="s">
        <v>25</v>
      </c>
      <c r="AD13" s="41"/>
      <c r="AE13" s="43" t="s">
        <v>25</v>
      </c>
      <c r="AF13" s="39" t="str">
        <f t="shared" si="0"/>
        <v>●</v>
      </c>
      <c r="AG13" s="35"/>
      <c r="AH13" s="33"/>
      <c r="AI13" s="50" t="s">
        <v>25</v>
      </c>
      <c r="AJ13" s="29">
        <v>17290</v>
      </c>
      <c r="AK13" s="29">
        <v>7818.5</v>
      </c>
      <c r="AL13" s="20"/>
      <c r="AT13" s="20"/>
      <c r="AV13" s="20"/>
      <c r="AW13" s="30"/>
      <c r="AX13" s="58" t="s">
        <v>51</v>
      </c>
      <c r="AY13" s="57">
        <v>10</v>
      </c>
      <c r="BA13" s="30" t="s">
        <v>51</v>
      </c>
      <c r="BB13" s="47">
        <f t="shared" si="1"/>
        <v>10</v>
      </c>
      <c r="BC13" s="20"/>
      <c r="BD13" s="30"/>
      <c r="BJ13" s="20"/>
      <c r="BK13" s="30"/>
      <c r="BL13" s="58" t="s">
        <v>22</v>
      </c>
      <c r="BM13" s="61">
        <v>31</v>
      </c>
      <c r="BN13" s="63">
        <v>528.09999999999991</v>
      </c>
      <c r="BQ13" s="20"/>
    </row>
    <row r="14" spans="1:69" ht="16" x14ac:dyDescent="0.2">
      <c r="A14" s="30"/>
      <c r="B14" s="30"/>
      <c r="C14" s="30"/>
      <c r="D14" s="30"/>
      <c r="E14" s="31"/>
      <c r="F14" s="30"/>
      <c r="G14" s="30" t="s">
        <v>28</v>
      </c>
      <c r="H14" s="17">
        <v>14518.7</v>
      </c>
      <c r="I14" s="30"/>
      <c r="J14" s="31"/>
      <c r="K14" s="30"/>
      <c r="L14" s="30"/>
      <c r="M14" s="30"/>
      <c r="O14" s="31"/>
      <c r="P14" s="30"/>
      <c r="U14" s="31"/>
      <c r="V14" s="30"/>
      <c r="AA14" s="31"/>
      <c r="AB14" s="30"/>
      <c r="AC14" s="70" t="s">
        <v>28</v>
      </c>
      <c r="AD14" s="41"/>
      <c r="AE14" s="43" t="s">
        <v>28</v>
      </c>
      <c r="AF14" s="39" t="str">
        <f t="shared" si="0"/>
        <v>●</v>
      </c>
      <c r="AG14" s="31"/>
      <c r="AH14" s="30"/>
      <c r="AI14" s="50" t="s">
        <v>28</v>
      </c>
      <c r="AJ14" s="29">
        <v>19299</v>
      </c>
      <c r="AK14" s="29">
        <v>4780.2999999999993</v>
      </c>
      <c r="AL14" s="35"/>
      <c r="AM14" s="33"/>
      <c r="AT14" s="35"/>
      <c r="AU14" s="33"/>
      <c r="AV14" s="35"/>
      <c r="AW14" s="30"/>
      <c r="AX14" s="58" t="s">
        <v>52</v>
      </c>
      <c r="AY14" s="57">
        <v>7</v>
      </c>
      <c r="BA14" s="30" t="s">
        <v>52</v>
      </c>
      <c r="BB14" s="47">
        <f t="shared" si="1"/>
        <v>7</v>
      </c>
      <c r="BC14" s="35"/>
      <c r="BD14" s="30"/>
      <c r="BJ14" s="35"/>
      <c r="BK14" s="30"/>
      <c r="BL14" s="58" t="s">
        <v>69</v>
      </c>
      <c r="BM14" s="61">
        <v>61</v>
      </c>
      <c r="BN14" s="63">
        <v>1047.7999999999997</v>
      </c>
      <c r="BQ14" s="35"/>
    </row>
    <row r="15" spans="1:69" ht="16" x14ac:dyDescent="0.2">
      <c r="A15" s="30"/>
      <c r="B15" s="30"/>
      <c r="C15" s="30"/>
      <c r="D15" s="30"/>
      <c r="E15" s="31"/>
      <c r="F15" s="30"/>
      <c r="G15" s="30" t="s">
        <v>30</v>
      </c>
      <c r="H15" s="17">
        <v>28743.599999999999</v>
      </c>
      <c r="I15" s="30"/>
      <c r="J15" s="31"/>
      <c r="K15" s="30"/>
      <c r="L15" s="30"/>
      <c r="M15" s="30"/>
      <c r="O15" s="31"/>
      <c r="P15" s="30"/>
      <c r="U15" s="31"/>
      <c r="V15" s="30"/>
      <c r="AA15" s="31"/>
      <c r="AB15" s="30"/>
      <c r="AC15" s="70" t="s">
        <v>30</v>
      </c>
      <c r="AD15" s="41"/>
      <c r="AE15" s="43" t="s">
        <v>30</v>
      </c>
      <c r="AF15" s="39" t="str">
        <f t="shared" si="0"/>
        <v>●</v>
      </c>
      <c r="AG15" s="31"/>
      <c r="AH15" s="30"/>
      <c r="AI15" s="50" t="s">
        <v>30</v>
      </c>
      <c r="AJ15" s="29">
        <v>35060</v>
      </c>
      <c r="AK15" s="29">
        <v>6316.4</v>
      </c>
      <c r="AL15" s="31"/>
      <c r="AM15" s="30"/>
      <c r="AT15" s="31"/>
      <c r="AU15" s="30"/>
      <c r="AV15" s="31"/>
      <c r="AW15" s="30"/>
      <c r="AX15" s="58" t="s">
        <v>53</v>
      </c>
      <c r="AY15" s="57">
        <v>5</v>
      </c>
      <c r="BA15" s="30" t="s">
        <v>53</v>
      </c>
      <c r="BB15" s="47">
        <f t="shared" si="1"/>
        <v>5</v>
      </c>
      <c r="BC15" s="31"/>
      <c r="BD15" s="30"/>
      <c r="BJ15" s="31"/>
      <c r="BK15" s="30"/>
      <c r="BQ15" s="31"/>
    </row>
    <row r="16" spans="1:69" ht="16" x14ac:dyDescent="0.2">
      <c r="A16" s="30"/>
      <c r="B16" s="30"/>
      <c r="C16" s="30"/>
      <c r="D16" s="30"/>
      <c r="E16" s="31"/>
      <c r="F16" s="30"/>
      <c r="G16" s="30" t="s">
        <v>31</v>
      </c>
      <c r="H16" s="17">
        <v>16091.6</v>
      </c>
      <c r="I16" s="30"/>
      <c r="J16" s="31"/>
      <c r="K16" s="30"/>
      <c r="L16" s="30"/>
      <c r="M16" s="30"/>
      <c r="O16" s="31"/>
      <c r="P16" s="30"/>
      <c r="U16" s="31"/>
      <c r="V16" s="30"/>
      <c r="AA16" s="31"/>
      <c r="AB16" s="30"/>
      <c r="AC16" s="70" t="s">
        <v>31</v>
      </c>
      <c r="AD16" s="41"/>
      <c r="AE16" s="43" t="s">
        <v>31</v>
      </c>
      <c r="AF16" s="39" t="str">
        <f t="shared" si="0"/>
        <v>●</v>
      </c>
      <c r="AG16" s="31"/>
      <c r="AH16" s="30"/>
      <c r="AI16" s="50" t="s">
        <v>31</v>
      </c>
      <c r="AJ16" s="29">
        <v>21728</v>
      </c>
      <c r="AK16" s="29">
        <v>5636.4</v>
      </c>
      <c r="AL16" s="31"/>
      <c r="AM16" s="30"/>
      <c r="AT16" s="31"/>
      <c r="AU16" s="30"/>
      <c r="AV16" s="31"/>
      <c r="AW16" s="30"/>
      <c r="AX16" s="58" t="s">
        <v>54</v>
      </c>
      <c r="AY16" s="57">
        <v>28</v>
      </c>
      <c r="BA16" s="30" t="s">
        <v>54</v>
      </c>
      <c r="BB16" s="47">
        <f t="shared" si="1"/>
        <v>28</v>
      </c>
      <c r="BC16" s="31"/>
      <c r="BD16" s="30"/>
      <c r="BJ16" s="31"/>
      <c r="BK16" s="30"/>
      <c r="BQ16" s="31"/>
    </row>
    <row r="17" spans="1:69" ht="16" x14ac:dyDescent="0.2">
      <c r="A17" s="30"/>
      <c r="B17" s="30"/>
      <c r="C17" s="30"/>
      <c r="D17" s="30"/>
      <c r="E17" s="31"/>
      <c r="F17" s="30"/>
      <c r="G17" s="30" t="s">
        <v>33</v>
      </c>
      <c r="H17" s="17">
        <v>61991.199999999997</v>
      </c>
      <c r="I17" s="30"/>
      <c r="J17" s="31"/>
      <c r="K17" s="30"/>
      <c r="L17" s="30"/>
      <c r="M17" s="30"/>
      <c r="O17" s="31"/>
      <c r="P17" s="30"/>
      <c r="U17" s="31"/>
      <c r="V17" s="30"/>
      <c r="AA17" s="31"/>
      <c r="AB17" s="30"/>
      <c r="AC17" s="70" t="s">
        <v>33</v>
      </c>
      <c r="AD17" s="41"/>
      <c r="AE17" s="43" t="s">
        <v>33</v>
      </c>
      <c r="AF17" s="39" t="str">
        <f t="shared" si="0"/>
        <v>●</v>
      </c>
      <c r="AG17" s="31"/>
      <c r="AH17" s="30"/>
      <c r="AI17" s="50" t="s">
        <v>33</v>
      </c>
      <c r="AJ17" s="29">
        <v>81336</v>
      </c>
      <c r="AK17" s="29">
        <v>19344.8</v>
      </c>
      <c r="AL17" s="31"/>
      <c r="AM17" s="30"/>
      <c r="AT17" s="31"/>
      <c r="AU17" s="30"/>
      <c r="AV17" s="31"/>
      <c r="AW17" s="30"/>
      <c r="AX17" s="58" t="s">
        <v>55</v>
      </c>
      <c r="AY17" s="57">
        <v>1</v>
      </c>
      <c r="BA17" s="30" t="s">
        <v>55</v>
      </c>
      <c r="BB17" s="47">
        <f>IFERROR(VLOOKUP(BA17, $AX$11:$AY$18, 2, 0), "-")</f>
        <v>1</v>
      </c>
      <c r="BC17" s="31"/>
      <c r="BD17" s="30"/>
      <c r="BJ17" s="31"/>
      <c r="BK17" s="30"/>
      <c r="BQ17" s="31"/>
    </row>
    <row r="18" spans="1:69" ht="16" x14ac:dyDescent="0.2">
      <c r="A18" s="30"/>
      <c r="B18" s="30"/>
      <c r="C18" s="30"/>
      <c r="D18" s="30"/>
      <c r="E18" s="31"/>
      <c r="F18" s="30"/>
      <c r="G18" s="30" t="s">
        <v>35</v>
      </c>
      <c r="H18" s="17">
        <v>20036.8</v>
      </c>
      <c r="I18" s="30"/>
      <c r="J18" s="31"/>
      <c r="K18" s="30"/>
      <c r="L18" s="30"/>
      <c r="M18" s="30"/>
      <c r="O18" s="31"/>
      <c r="P18" s="30"/>
      <c r="U18" s="31"/>
      <c r="V18" s="30"/>
      <c r="AA18" s="31"/>
      <c r="AB18" s="30"/>
      <c r="AC18" s="70" t="s">
        <v>35</v>
      </c>
      <c r="AD18" s="41"/>
      <c r="AE18" s="43" t="s">
        <v>35</v>
      </c>
      <c r="AF18" s="39" t="str">
        <f t="shared" si="0"/>
        <v>●</v>
      </c>
      <c r="AG18" s="31"/>
      <c r="AH18" s="30"/>
      <c r="AI18" s="50" t="s">
        <v>35</v>
      </c>
      <c r="AJ18" s="29">
        <v>26172</v>
      </c>
      <c r="AK18" s="29">
        <v>6135.2</v>
      </c>
      <c r="AL18" s="31"/>
      <c r="AM18" s="30"/>
      <c r="AT18" s="31"/>
      <c r="AU18" s="30"/>
      <c r="AV18" s="31"/>
      <c r="AW18" s="30"/>
      <c r="AX18" s="58" t="s">
        <v>69</v>
      </c>
      <c r="AY18" s="57">
        <v>61</v>
      </c>
      <c r="BA18" s="46"/>
      <c r="BB18" s="47"/>
      <c r="BC18" s="31"/>
      <c r="BD18" s="30"/>
      <c r="BJ18" s="31"/>
      <c r="BK18" s="30"/>
    </row>
    <row r="19" spans="1:69" ht="16" x14ac:dyDescent="0.2">
      <c r="A19" s="30"/>
      <c r="B19" s="30"/>
      <c r="C19" s="30"/>
      <c r="D19" s="30"/>
      <c r="E19" s="31"/>
      <c r="F19" s="30"/>
      <c r="G19" s="30" t="s">
        <v>36</v>
      </c>
      <c r="H19" s="17">
        <v>28740.799999999999</v>
      </c>
      <c r="I19" s="30"/>
      <c r="J19" s="31"/>
      <c r="K19" s="30"/>
      <c r="L19" s="30"/>
      <c r="M19" s="30"/>
      <c r="O19" s="31"/>
      <c r="P19" s="30"/>
      <c r="U19" s="31"/>
      <c r="V19" s="30"/>
      <c r="AA19" s="31"/>
      <c r="AB19" s="30"/>
      <c r="AC19" s="70" t="s">
        <v>36</v>
      </c>
      <c r="AD19" s="41"/>
      <c r="AE19" s="43" t="s">
        <v>36</v>
      </c>
      <c r="AF19" s="39" t="str">
        <f t="shared" si="0"/>
        <v>●</v>
      </c>
      <c r="AG19" s="31"/>
      <c r="AH19" s="30"/>
      <c r="AI19" s="50" t="s">
        <v>36</v>
      </c>
      <c r="AJ19" s="29">
        <v>34532</v>
      </c>
      <c r="AK19" s="29">
        <v>5791.2</v>
      </c>
      <c r="AL19" s="31"/>
      <c r="AM19" s="30"/>
      <c r="AT19" s="31"/>
      <c r="AU19" s="30"/>
      <c r="AV19" s="31"/>
      <c r="AW19" s="30"/>
      <c r="BB19" s="30"/>
      <c r="BC19" s="31"/>
      <c r="BD19" s="30"/>
      <c r="BJ19" s="31"/>
      <c r="BK19" s="30"/>
    </row>
    <row r="20" spans="1:69" ht="16" x14ac:dyDescent="0.2">
      <c r="A20" s="30"/>
      <c r="B20" s="30"/>
      <c r="C20" s="30"/>
      <c r="D20" s="30"/>
      <c r="E20" s="31"/>
      <c r="F20" s="30"/>
      <c r="G20" s="30" t="s">
        <v>37</v>
      </c>
      <c r="H20" s="17">
        <v>33422</v>
      </c>
      <c r="I20" s="30"/>
      <c r="J20" s="31"/>
      <c r="K20" s="30"/>
      <c r="L20" s="30"/>
      <c r="M20" s="30"/>
      <c r="O20" s="31"/>
      <c r="P20" s="30"/>
      <c r="U20" s="31"/>
      <c r="V20" s="30"/>
      <c r="AA20" s="31"/>
      <c r="AB20" s="30"/>
      <c r="AC20" s="70" t="s">
        <v>37</v>
      </c>
      <c r="AD20" s="41"/>
      <c r="AE20" s="43" t="s">
        <v>37</v>
      </c>
      <c r="AF20" s="39" t="str">
        <f t="shared" si="0"/>
        <v>●</v>
      </c>
      <c r="AG20" s="31"/>
      <c r="AH20" s="30"/>
      <c r="AI20" s="50" t="s">
        <v>37</v>
      </c>
      <c r="AJ20" s="29">
        <v>48914</v>
      </c>
      <c r="AK20" s="29">
        <v>15492.000000000002</v>
      </c>
      <c r="AL20" s="31"/>
      <c r="AM20" s="30"/>
      <c r="AT20" s="31"/>
      <c r="AU20" s="30"/>
      <c r="AV20" s="31"/>
      <c r="AW20" s="30"/>
      <c r="AX20" s="30"/>
      <c r="AY20" s="30"/>
      <c r="BB20" s="30"/>
      <c r="BC20" s="31"/>
      <c r="BD20" s="30"/>
      <c r="BJ20" s="31"/>
      <c r="BK20" s="30"/>
    </row>
    <row r="21" spans="1:69" ht="16" x14ac:dyDescent="0.2">
      <c r="A21" s="30"/>
      <c r="B21" s="30"/>
      <c r="C21" s="30"/>
      <c r="D21" s="30"/>
      <c r="E21" s="31"/>
      <c r="F21" s="30"/>
      <c r="G21" s="30" t="s">
        <v>38</v>
      </c>
      <c r="H21" s="17">
        <v>15818.5</v>
      </c>
      <c r="I21" s="30"/>
      <c r="J21" s="31"/>
      <c r="K21" s="30"/>
      <c r="L21" s="30"/>
      <c r="M21" s="30"/>
      <c r="O21" s="31"/>
      <c r="P21" s="30"/>
      <c r="U21" s="31"/>
      <c r="V21" s="30"/>
      <c r="AA21" s="31"/>
      <c r="AB21" s="30"/>
      <c r="AC21" s="70" t="s">
        <v>38</v>
      </c>
      <c r="AD21" s="41"/>
      <c r="AE21" s="43" t="s">
        <v>38</v>
      </c>
      <c r="AF21" s="39" t="str">
        <f t="shared" si="0"/>
        <v>●</v>
      </c>
      <c r="AG21" s="31"/>
      <c r="AH21" s="30"/>
      <c r="AI21" s="50" t="s">
        <v>38</v>
      </c>
      <c r="AJ21" s="29">
        <v>23910</v>
      </c>
      <c r="AK21" s="29">
        <v>8091.5</v>
      </c>
      <c r="AL21" s="31"/>
      <c r="AM21" s="30"/>
      <c r="AT21" s="31"/>
      <c r="AU21" s="30"/>
      <c r="AV21" s="31"/>
      <c r="AW21" s="30"/>
      <c r="BB21" s="30"/>
      <c r="BC21" s="31"/>
      <c r="BD21" s="30"/>
      <c r="BJ21" s="31"/>
      <c r="BK21" s="30"/>
    </row>
    <row r="22" spans="1:69" ht="16" x14ac:dyDescent="0.2">
      <c r="A22" s="30"/>
      <c r="B22" s="30"/>
      <c r="C22" s="30"/>
      <c r="D22" s="30"/>
      <c r="E22" s="30"/>
      <c r="F22" s="30"/>
      <c r="G22" s="30" t="s">
        <v>39</v>
      </c>
      <c r="H22" s="17">
        <v>11270.7</v>
      </c>
      <c r="I22" s="30"/>
      <c r="J22" s="30"/>
      <c r="K22" s="16"/>
      <c r="L22" s="30"/>
      <c r="M22" s="30"/>
      <c r="O22" s="30"/>
      <c r="P22" s="16"/>
      <c r="U22" s="31"/>
      <c r="V22" s="30"/>
      <c r="AA22" s="31"/>
      <c r="AB22" s="30"/>
      <c r="AC22" s="70" t="s">
        <v>39</v>
      </c>
      <c r="AD22" s="41"/>
      <c r="AE22" s="44" t="s">
        <v>39</v>
      </c>
      <c r="AF22" s="40" t="str">
        <f t="shared" si="0"/>
        <v>●</v>
      </c>
      <c r="AG22" s="31"/>
      <c r="AH22" s="30"/>
      <c r="AI22" s="50" t="s">
        <v>39</v>
      </c>
      <c r="AJ22" s="29">
        <v>15861</v>
      </c>
      <c r="AK22" s="29">
        <v>4590.2999999999993</v>
      </c>
      <c r="AL22" s="31"/>
      <c r="AM22" s="30"/>
      <c r="AT22" s="31"/>
      <c r="AU22" s="30"/>
      <c r="AV22" s="31"/>
      <c r="AW22" s="30"/>
      <c r="BB22" s="30"/>
      <c r="BC22" s="31"/>
      <c r="BD22" s="30"/>
      <c r="BJ22" s="31"/>
      <c r="BK22" s="30"/>
    </row>
    <row r="23" spans="1:69" ht="16" x14ac:dyDescent="0.2">
      <c r="A23" s="30"/>
      <c r="B23" s="30"/>
      <c r="C23" s="30"/>
      <c r="D23" s="30"/>
      <c r="E23" s="30"/>
      <c r="F23" s="30"/>
      <c r="G23" s="30" t="s">
        <v>69</v>
      </c>
      <c r="H23" s="17">
        <v>264192.89999999991</v>
      </c>
      <c r="I23" s="30"/>
      <c r="J23" s="30"/>
      <c r="K23" s="30"/>
      <c r="L23" s="30"/>
      <c r="M23" s="30"/>
      <c r="O23" s="30"/>
      <c r="P23" s="30"/>
      <c r="U23" s="30"/>
      <c r="V23" s="16"/>
      <c r="AA23" s="30"/>
      <c r="AB23" s="16"/>
      <c r="AC23" s="58" t="s">
        <v>69</v>
      </c>
      <c r="AG23" s="31"/>
      <c r="AH23" s="30"/>
      <c r="AI23" s="30" t="s">
        <v>69</v>
      </c>
      <c r="AJ23" s="29">
        <v>359038</v>
      </c>
      <c r="AK23" s="29">
        <v>94845.099999999991</v>
      </c>
      <c r="AL23" s="31"/>
      <c r="AM23" s="30"/>
      <c r="AT23" s="31"/>
      <c r="AU23" s="30"/>
      <c r="AV23" s="31"/>
      <c r="AW23" s="30"/>
      <c r="BC23" s="31"/>
      <c r="BD23" s="30"/>
      <c r="BJ23" s="31"/>
      <c r="BK23" s="30"/>
    </row>
    <row r="24" spans="1:69" ht="16" x14ac:dyDescent="0.2">
      <c r="A24" s="30"/>
      <c r="B24" s="30"/>
      <c r="C24" s="30"/>
      <c r="D24" s="30"/>
      <c r="E24" s="30"/>
      <c r="F24" s="30"/>
      <c r="G24" s="30"/>
      <c r="H24" s="30"/>
      <c r="I24" s="30"/>
      <c r="J24" s="30"/>
      <c r="K24" s="30"/>
      <c r="L24" s="30"/>
      <c r="M24" s="30"/>
      <c r="O24" s="30"/>
      <c r="P24" s="30"/>
      <c r="U24" s="30"/>
      <c r="V24" s="30"/>
      <c r="AA24" s="30"/>
      <c r="AB24" s="30"/>
      <c r="AG24" s="31"/>
      <c r="AH24" s="30"/>
      <c r="AL24" s="31"/>
      <c r="AM24" s="30"/>
      <c r="AT24" s="31"/>
      <c r="AU24" s="30"/>
      <c r="AV24" s="31"/>
      <c r="AW24" s="30"/>
      <c r="BC24" s="31"/>
      <c r="BD24" s="30"/>
      <c r="BJ24" s="31"/>
      <c r="BK24" s="30"/>
    </row>
    <row r="25" spans="1:69" ht="16" x14ac:dyDescent="0.2">
      <c r="A25" s="30"/>
      <c r="B25" s="30"/>
      <c r="C25" s="30"/>
      <c r="D25" s="30"/>
      <c r="E25" s="30"/>
      <c r="F25" s="30"/>
      <c r="G25" s="30"/>
      <c r="H25" s="30"/>
      <c r="I25" s="30"/>
      <c r="J25" s="30"/>
      <c r="K25" s="30"/>
      <c r="L25" s="30"/>
      <c r="M25" s="30"/>
      <c r="O25" s="30"/>
      <c r="P25" s="30"/>
      <c r="U25" s="30"/>
      <c r="V25" s="30"/>
      <c r="AA25" s="30"/>
      <c r="AB25" s="30"/>
      <c r="AG25" s="30"/>
      <c r="AH25" s="16"/>
      <c r="AL25" s="31"/>
      <c r="AM25" s="30"/>
      <c r="AT25" s="31"/>
      <c r="AU25" s="30"/>
      <c r="AV25" s="31"/>
      <c r="AW25" s="30"/>
      <c r="BC25" s="31"/>
      <c r="BD25" s="30"/>
      <c r="BJ25" s="31"/>
      <c r="BK25" s="30"/>
    </row>
    <row r="26" spans="1:69" ht="16" x14ac:dyDescent="0.2">
      <c r="U26" s="30"/>
      <c r="V26" s="30"/>
      <c r="AA26" s="30"/>
      <c r="AB26" s="30"/>
      <c r="AL26" s="30"/>
      <c r="AM26" s="16"/>
    </row>
    <row r="27" spans="1:69" ht="16" x14ac:dyDescent="0.2"/>
  </sheetData>
  <mergeCells count="1">
    <mergeCell ref="A2:E2"/>
  </mergeCells>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0D7D5-C318-6543-97E9-4B9A6C9529F5}">
  <sheetPr codeName="Sheet3"/>
  <dimension ref="A1"/>
  <sheetViews>
    <sheetView showGridLines="0" showRowColHeaders="0" tabSelected="1" zoomScale="75" zoomScaleNormal="75" workbookViewId="0">
      <selection activeCell="X28" sqref="X28"/>
    </sheetView>
  </sheetViews>
  <sheetFormatPr baseColWidth="10" defaultRowHeight="15"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autoFill="0" autoPict="0" macro="[0]!Freshcalendar">
                <anchor moveWithCells="1" sizeWithCells="1">
                  <from>
                    <xdr:col>4</xdr:col>
                    <xdr:colOff>584200</xdr:colOff>
                    <xdr:row>5</xdr:row>
                    <xdr:rowOff>152400</xdr:rowOff>
                  </from>
                  <to>
                    <xdr:col>6</xdr:col>
                    <xdr:colOff>457200</xdr:colOff>
                    <xdr:row>7</xdr:row>
                    <xdr:rowOff>152400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Datatable</vt:lpstr>
      <vt:lpstr>Pivottable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www.other-levels.com</dc:title>
  <dc:creator>contact@other-levels.com</dc:creator>
  <cp:lastModifiedBy>Microsoft Office User</cp:lastModifiedBy>
  <dcterms:created xsi:type="dcterms:W3CDTF">2022-10-16T10:32:46Z</dcterms:created>
  <dcterms:modified xsi:type="dcterms:W3CDTF">2023-07-30T17:37:04Z</dcterms:modified>
</cp:coreProperties>
</file>